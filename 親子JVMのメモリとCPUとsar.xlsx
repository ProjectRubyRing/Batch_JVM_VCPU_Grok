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たとえ話" sheetId="2" state="visible" r:id="rId2"/>
    <sheet xmlns:r="http://schemas.openxmlformats.org/officeDocument/2006/relationships" name="関係マップ" sheetId="3" state="visible" r:id="rId3"/>
    <sheet xmlns:r="http://schemas.openxmlformats.org/officeDocument/2006/relationships" name="子が起動する順" sheetId="4" state="visible" r:id="rId4"/>
    <sheet xmlns:r="http://schemas.openxmlformats.org/officeDocument/2006/relationships" name="歴史" sheetId="5" state="visible" r:id="rId5"/>
    <sheet xmlns:r="http://schemas.openxmlformats.org/officeDocument/2006/relationships" name="プロセス" sheetId="6" state="visible" r:id="rId6"/>
    <sheet xmlns:r="http://schemas.openxmlformats.org/officeDocument/2006/relationships" name="CPUとvCPU" sheetId="7" state="visible" r:id="rId7"/>
    <sheet xmlns:r="http://schemas.openxmlformats.org/officeDocument/2006/relationships" name="メモリ" sheetId="8" state="visible" r:id="rId8"/>
    <sheet xmlns:r="http://schemas.openxmlformats.org/officeDocument/2006/relationships" name="近所と外部" sheetId="9" state="visible" r:id="rId9"/>
    <sheet xmlns:r="http://schemas.openxmlformats.org/officeDocument/2006/relationships" name="子10本の重なり" sheetId="10" state="visible" r:id="rId10"/>
    <sheet xmlns:r="http://schemas.openxmlformats.org/officeDocument/2006/relationships" name="試験で見ること" sheetId="11" state="visible" r:id="rId11"/>
    <sheet xmlns:r="http://schemas.openxmlformats.org/officeDocument/2006/relationships" name="sarの読み方" sheetId="12" state="visible" r:id="rId12"/>
    <sheet xmlns:r="http://schemas.openxmlformats.org/officeDocument/2006/relationships" name="コマンド辞典" sheetId="13" state="visible" r:id="rId13"/>
    <sheet xmlns:r="http://schemas.openxmlformats.org/officeDocument/2006/relationships" name="形の読み分け" sheetId="14" state="visible" r:id="rId14"/>
    <sheet xmlns:r="http://schemas.openxmlformats.org/officeDocument/2006/relationships" name="試験手順" sheetId="15" state="visible" r:id="rId15"/>
    <sheet xmlns:r="http://schemas.openxmlformats.org/officeDocument/2006/relationships" name="計算" sheetId="16" state="visible" r:id="rId16"/>
    <sheet xmlns:r="http://schemas.openxmlformats.org/officeDocument/2006/relationships" name="感度" sheetId="17" state="visible" r:id="rId17"/>
    <sheet xmlns:r="http://schemas.openxmlformats.org/officeDocument/2006/relationships" name="JDKとRHEL" sheetId="18" state="visible" r:id="rId18"/>
    <sheet xmlns:r="http://schemas.openxmlformats.org/officeDocument/2006/relationships" name="用語" sheetId="19" state="visible" r:id="rId19"/>
    <sheet xmlns:r="http://schemas.openxmlformats.org/officeDocument/2006/relationships" name="出典" sheetId="20" state="visible" r:id="rId20"/>
  </sheets>
  <definedNames>
    <definedName name="_xlnm._FilterDatabase" localSheetId="0" hidden="1">'表紙'!$A$4:$C$14</definedName>
    <definedName name="_xlnm.Print_Titles" localSheetId="0">'表紙'!$1:$4</definedName>
    <definedName name="_xlnm._FilterDatabase" localSheetId="1" hidden="1">'たとえ話'!$A$3:$D$16</definedName>
    <definedName name="_xlnm.Print_Titles" localSheetId="1">'たとえ話'!$1:$3</definedName>
    <definedName name="_xlnm._FilterDatabase" localSheetId="2" hidden="1">'関係マップ'!$A$3:$E$14</definedName>
    <definedName name="_xlnm.Print_Titles" localSheetId="2">'関係マップ'!$1:$3</definedName>
    <definedName name="_xlnm._FilterDatabase" localSheetId="3" hidden="1">'子が起動する順'!$A$3:$E$14</definedName>
    <definedName name="_xlnm.Print_Titles" localSheetId="3">'子が起動する順'!$1:$3</definedName>
    <definedName name="_xlnm._FilterDatabase" localSheetId="4" hidden="1">'歴史'!$A$3:$D$17</definedName>
    <definedName name="_xlnm.Print_Titles" localSheetId="4">'歴史'!$1:$3</definedName>
    <definedName name="_xlnm._FilterDatabase" localSheetId="5" hidden="1">'プロセス'!$A$3:$D$15</definedName>
    <definedName name="_xlnm.Print_Titles" localSheetId="5">'プロセス'!$1:$3</definedName>
    <definedName name="_xlnm._FilterDatabase" localSheetId="6" hidden="1">'CPUとvCPU'!$A$3:$D$21</definedName>
    <definedName name="_xlnm.Print_Titles" localSheetId="6">'CPUとvCPU'!$1:$3</definedName>
    <definedName name="_xlnm._FilterDatabase" localSheetId="7" hidden="1">'メモリ'!$A$3:$D$23</definedName>
    <definedName name="_xlnm.Print_Titles" localSheetId="7">'メモリ'!$1:$3</definedName>
    <definedName name="_xlnm._FilterDatabase" localSheetId="8" hidden="1">'近所と外部'!$A$3:$D$15</definedName>
    <definedName name="_xlnm.Print_Titles" localSheetId="8">'近所と外部'!$1:$3</definedName>
    <definedName name="_xlnm._FilterDatabase" localSheetId="9" hidden="1">'子10本の重なり'!$A$3:$D$17</definedName>
    <definedName name="_xlnm.Print_Titles" localSheetId="9">'子10本の重なり'!$1:$3</definedName>
    <definedName name="_xlnm._FilterDatabase" localSheetId="10" hidden="1">'試験で見ること'!$A$3:$D$15</definedName>
    <definedName name="_xlnm.Print_Titles" localSheetId="10">'試験で見ること'!$1:$3</definedName>
    <definedName name="_xlnm._FilterDatabase" localSheetId="11" hidden="1">'sarの読み方'!$A$3:$C$23</definedName>
    <definedName name="_xlnm.Print_Titles" localSheetId="11">'sarの読み方'!$1:$3</definedName>
    <definedName name="_xlnm._FilterDatabase" localSheetId="12" hidden="1">'コマンド辞典'!$A$3:$E$33</definedName>
    <definedName name="_xlnm.Print_Titles" localSheetId="12">'コマンド辞典'!$1:$3</definedName>
    <definedName name="_xlnm._FilterDatabase" localSheetId="13" hidden="1">'形の読み分け'!$A$3:$D$16</definedName>
    <definedName name="_xlnm.Print_Titles" localSheetId="13">'形の読み分け'!$1:$3</definedName>
    <definedName name="_xlnm._FilterDatabase" localSheetId="14" hidden="1">'試験手順'!$A$3:$D$13</definedName>
    <definedName name="_xlnm.Print_Titles" localSheetId="14">'試験手順'!$1:$3</definedName>
    <definedName name="_xlnm.Print_Titles" localSheetId="15">'計算'!$1:$4</definedName>
    <definedName name="_xlnm.Print_Area" localSheetId="15">'計算'!$A$1:$E$43</definedName>
    <definedName name="_xlnm._FilterDatabase" localSheetId="16" hidden="1">'感度'!$A$4:$K$11</definedName>
    <definedName name="_xlnm.Print_Titles" localSheetId="16">'感度'!$1:$4</definedName>
    <definedName name="_xlnm.Print_Area" localSheetId="16">'感度'!$A$1:$K$24</definedName>
    <definedName name="_xlnm._FilterDatabase" localSheetId="17" hidden="1">'JDKとRHEL'!$A$3:$C$16</definedName>
    <definedName name="_xlnm.Print_Titles" localSheetId="17">'JDKとRHEL'!$1:$3</definedName>
    <definedName name="_xlnm._FilterDatabase" localSheetId="18" hidden="1">'用語'!$A$3:$C$26</definedName>
    <definedName name="_xlnm.Print_Titles" localSheetId="18">'用語'!$1:$3</definedName>
    <definedName name="_xlnm._FilterDatabase" localSheetId="19" hidden="1">'出典'!$A$3:$C$15</definedName>
    <definedName name="_xlnm.Print_Titles" localSheetId="19">'出典'!$1:$3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0">
    <font>
      <name val="Meiryo UI"/>
      <family val="2"/>
      <color theme="1"/>
      <sz val="10"/>
    </font>
    <font>
      <name val="Meiryo UI"/>
      <b val="1"/>
      <color rgb="00FFFFFF"/>
      <sz val="20"/>
    </font>
    <font>
      <name val="Meiryo UI"/>
      <color rgb="001A1A1A"/>
      <sz val="11"/>
    </font>
    <font>
      <name val="Meiryo UI"/>
      <b val="1"/>
      <color rgb="00FFFFFF"/>
      <sz val="10"/>
    </font>
    <font>
      <name val="Meiryo UI"/>
      <color rgb="001A1A1A"/>
      <sz val="10"/>
    </font>
    <font>
      <name val="Meiryo UI"/>
      <b val="1"/>
      <color rgb="00FFFFFF"/>
      <sz val="16"/>
    </font>
    <font>
      <name val="Meiryo UI"/>
      <b val="1"/>
      <color rgb="001A1A1A"/>
      <sz val="10"/>
    </font>
    <font>
      <name val="Meiryo UI"/>
      <b val="1"/>
      <color rgb="001A1A1A"/>
      <sz val="12"/>
    </font>
    <font>
      <name val="Meiryo UI"/>
      <b val="1"/>
      <color rgb="00FFFFFF"/>
      <sz val="9"/>
    </font>
    <font>
      <name val="Meiryo UI"/>
      <b val="1"/>
      <color rgb="001A1A1A"/>
      <sz val="11"/>
    </font>
  </fonts>
  <fills count="10">
    <fill>
      <patternFill/>
    </fill>
    <fill>
      <patternFill patternType="gray125"/>
    </fill>
    <fill>
      <patternFill patternType="solid">
        <fgColor rgb="002C2C2C"/>
      </patternFill>
    </fill>
    <fill>
      <patternFill patternType="solid">
        <fgColor rgb="00E8E8E8"/>
      </patternFill>
    </fill>
    <fill>
      <patternFill patternType="solid">
        <fgColor rgb="00FFFFFF"/>
      </patternFill>
    </fill>
    <fill>
      <patternFill patternType="solid">
        <fgColor rgb="00F3F3F3"/>
      </patternFill>
    </fill>
    <fill>
      <patternFill patternType="solid">
        <fgColor rgb="00D9D9D9"/>
      </patternFill>
    </fill>
    <fill>
      <patternFill patternType="solid">
        <fgColor rgb="003A3A3A"/>
      </patternFill>
    </fill>
    <fill>
      <patternFill patternType="solid">
        <fgColor rgb="00EEEEEE"/>
      </patternFill>
    </fill>
    <fill>
      <patternFill patternType="solid">
        <fgColor rgb="00E4E4E4"/>
      </patternFill>
    </fill>
  </fills>
  <borders count="7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medium">
        <color rgb="004A4A4A"/>
      </left>
      <right style="medium">
        <color rgb="004A4A4A"/>
      </right>
      <top style="medium">
        <color rgb="004A4A4A"/>
      </top>
      <bottom style="medium">
        <color rgb="004A4A4A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1" fontId="7" fillId="6" borderId="2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2" fontId="7" fillId="6" borderId="2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4" fillId="8" borderId="1" applyAlignment="1" pivotButton="0" quotePrefix="0" xfId="0">
      <alignment horizontal="left" vertical="top" wrapText="1"/>
    </xf>
    <xf numFmtId="164" fontId="7" fillId="8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right" vertical="center" wrapText="1"/>
    </xf>
    <xf numFmtId="1" fontId="4" fillId="4" borderId="1" applyAlignment="1" pivotButton="0" quotePrefix="0" xfId="0">
      <alignment horizontal="right" vertical="center" wrapText="1"/>
    </xf>
    <xf numFmtId="164" fontId="4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left" vertical="center" wrapText="1"/>
    </xf>
    <xf numFmtId="1" fontId="4" fillId="5" borderId="1" applyAlignment="1" pivotButton="0" quotePrefix="0" xfId="0">
      <alignment horizontal="right" vertical="center" wrapText="1"/>
    </xf>
    <xf numFmtId="164" fontId="4" fillId="5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left" vertical="center" wrapText="1"/>
    </xf>
    <xf numFmtId="2" fontId="4" fillId="4" borderId="1" applyAlignment="1" pivotButton="0" quotePrefix="0" xfId="0">
      <alignment horizontal="right" vertical="center" wrapText="1"/>
    </xf>
    <xf numFmtId="2" fontId="4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C5C5C"/>
    <outlinePr summaryBelow="1" summaryRight="1"/>
    <pageSetUpPr fitToPage="1"/>
  </sheetPr>
  <dimension ref="A1:C14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3" defaultRowHeight="18"/>
  <cols>
    <col width="28" customWidth="1" min="1" max="1"/>
    <col width="88" customWidth="1" min="2" max="2"/>
    <col width="42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</cols>
  <sheetData>
    <row r="1" ht="42" customHeight="1">
      <c r="A1" s="1" t="inlineStr">
        <is>
          <t>親子JVMのプロセス、メモリ、vCPU</t>
        </is>
      </c>
      <c r="B1" s="1" t="n"/>
      <c r="C1" s="1" t="n"/>
    </row>
    <row r="2" ht="36" customHeight="1">
      <c r="A2" s="2" t="inlineStr">
        <is>
          <t>EC2 / Red Hat Enterprise Linux 9.8 / OpenJDK 21。親JVMが子JVMを同時10本まで起動し、業務は子が実行する。確認日 2026-10-14。</t>
        </is>
      </c>
      <c r="B2" s="2" t="n"/>
      <c r="C2" s="2" t="n"/>
    </row>
    <row r="3"/>
    <row r="4" ht="54" customHeight="1">
      <c r="A4" s="3" t="inlineStr">
        <is>
          <t>項目</t>
        </is>
      </c>
      <c r="B4" s="3" t="inlineStr">
        <is>
          <t>内容</t>
        </is>
      </c>
      <c r="C4" s="3" t="inlineStr">
        <is>
          <t>どこを見るか</t>
        </is>
      </c>
    </row>
    <row r="5" ht="54" customHeight="1">
      <c r="A5" s="4" t="inlineStr">
        <is>
          <t>何の文書か</t>
        </is>
      </c>
      <c r="B5" s="4" t="inlineStr">
        <is>
          <t>1台のEC2の中で、プロセスは分かれ、CPUと物理メモリは共有される、という関係を説明する。性能試験で sar を読むときの項目の意味と、その道具が生まれた経緯を同じ場所に置く。</t>
        </is>
      </c>
      <c r="C5" s="4" t="inlineStr">
        <is>
          <t>Markdown と同じ内容の作業用ブック</t>
        </is>
      </c>
    </row>
    <row r="6" ht="38" customHeight="1">
      <c r="A6" s="5" t="inlineStr">
        <is>
          <t>たとえ</t>
        </is>
      </c>
      <c r="B6" s="5" t="inlineStr">
        <is>
          <t>教室がEC2、机がvCPU、ロッカーが物理メモリ、先生が親JVM、作業員が子JVM、引き出しがヒープ、日記係が sar である。</t>
        </is>
      </c>
      <c r="C6" s="5" t="inlineStr">
        <is>
          <t>シート「たとえ話」</t>
        </is>
      </c>
    </row>
    <row r="7" ht="54" customHeight="1">
      <c r="A7" s="4" t="inlineStr">
        <is>
          <t>30秒の結論</t>
        </is>
      </c>
      <c r="B7" s="4" t="inlineStr">
        <is>
          <t>子を10本にしても机は増えない。ヒープの上限は10回足す。GCワーカーも、各JVMが見えているCPU数から人数を決めるので、GCが重なると机の数を大きく超える。</t>
        </is>
      </c>
      <c r="C7" s="4" t="inlineStr">
        <is>
          <t>シート「子10本の重なり」</t>
        </is>
      </c>
    </row>
    <row r="8" ht="54" customHeight="1">
      <c r="A8" s="5" t="inlineStr">
        <is>
          <t>見本の数字</t>
        </is>
      </c>
      <c r="B8" s="5" t="inlineStr">
        <is>
          <t>8 vCPU、16GiB、親512MiB、子1024MiB×10、という仮の入力で、推定居住量は約14.59GiB。OSとキャッシュに2GiB残すと、見積もりは約0.59GiB超える。測定値ではない。</t>
        </is>
      </c>
      <c r="C8" s="5" t="inlineStr">
        <is>
          <t>シート「計算」の太枠を自分の値に変える</t>
        </is>
      </c>
    </row>
    <row r="9" ht="54" customHeight="1">
      <c r="A9" s="4" t="inlineStr">
        <is>
          <t>RHEL 9 の注意</t>
        </is>
      </c>
      <c r="B9" s="4" t="inlineStr">
        <is>
          <t>sar の kbmemused は MemTotal−MemFree−Buffers−Cached−Slab。free の used は MemTotal−MemAvailable。空きの判定に使うのは kbavail である。</t>
        </is>
      </c>
      <c r="C9" s="4" t="inlineStr">
        <is>
          <t>シート「メモリ」</t>
        </is>
      </c>
    </row>
    <row r="10" ht="38" customHeight="1">
      <c r="A10" s="5" t="inlineStr">
        <is>
          <t>最初の1行</t>
        </is>
      </c>
      <c r="B10" s="5" t="inlineStr">
        <is>
          <t>vmstat と iostat の最初の1行は起動後平均。sar は間隔0のときだけ起動後平均。pidstat は2回目のブロック以降を採用する。</t>
        </is>
      </c>
      <c r="C10" s="5" t="inlineStr">
        <is>
          <t>シート「sarの読み方」</t>
        </is>
      </c>
    </row>
    <row r="11" ht="38" customHeight="1">
      <c r="A11" s="4" t="inlineStr">
        <is>
          <t>測っていないもの</t>
        </is>
      </c>
      <c r="B11" s="4" t="inlineStr">
        <is>
          <t>対象サーバのインスタンスタイプ、実フラグ、実 sar、GCログは見ていない。</t>
        </is>
      </c>
      <c r="C11" s="4" t="inlineStr">
        <is>
          <t>シート「出典」</t>
        </is>
      </c>
    </row>
    <row r="12" ht="38" customHeight="1">
      <c r="A12" s="5" t="inlineStr">
        <is>
          <t>フォントと色</t>
        </is>
      </c>
      <c r="B12" s="5" t="inlineStr">
        <is>
          <t>全セル Meiryo UI。色は白、灰、黒だけ。太枠の灰色が入力、薄い灰色が計算結果。</t>
        </is>
      </c>
      <c r="C12" s="5" t="inlineStr">
        <is>
          <t>このシート</t>
        </is>
      </c>
    </row>
    <row r="13" ht="38" customHeight="1">
      <c r="A13" s="4" t="inlineStr">
        <is>
          <t>印刷</t>
        </is>
      </c>
      <c r="B13" s="4" t="inlineStr">
        <is>
          <t>A3横。幅を1ページに収める。画面ではフィルタとウィンドウ枠の固定を使う。</t>
        </is>
      </c>
      <c r="C13" s="4" t="inlineStr">
        <is>
          <t>各シート共通</t>
        </is>
      </c>
    </row>
    <row r="14" ht="22" customHeight="1">
      <c r="A14" s="5" t="inlineStr">
        <is>
          <t>対になる文書</t>
        </is>
      </c>
      <c r="B14" s="5" t="inlineStr">
        <is>
          <t>親子JVMのメモリとCPUとsar.md</t>
        </is>
      </c>
      <c r="C14" s="5" t="inlineStr">
        <is>
          <t>同じフォルダ</t>
        </is>
      </c>
    </row>
  </sheetData>
  <autoFilter ref="A4:C14"/>
  <mergeCells count="2">
    <mergeCell ref="A1:C1"/>
    <mergeCell ref="A2:C2"/>
  </mergeCells>
  <printOptions horizontalCentered="1"/>
  <pageMargins left="0.45" right="0.45" top="0.7" bottom="0.55" header="0.26" footer="0.26"/>
  <pageSetup orientation="landscape" paperSize="8" scale="70" fitToHeight="0" fitToWidth="1" horizontalDpi="300" verticalDpi="300"/>
  <headerFooter>
    <oddHeader>&amp;L&amp;"Meiryo UI"&amp;9親子JVMのプロセス・メモリ・vCPU&amp;C&amp;R&amp;"Meiryo UI"&amp;9確認日 2026-10-14</oddHeader>
    <oddFooter>&amp;L&amp;"Meiryo UI"&amp;8見本の数字は仮の値。実測は対象サーバで採取する。&amp;C&amp;"Meiryo UI"&amp;9表紙&amp;R&amp;"Meiryo UI"&amp;9&amp;P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5C5C5C"/>
    <outlinePr summaryBelow="1" summaryRight="1"/>
    <pageSetUpPr fitToPage="1"/>
  </sheetPr>
  <dimension ref="A1:D16"/>
  <sheetViews>
    <sheetView showGridLines="0" view="normal" zoomScale="100" workbookViewId="0">
      <pane ySplit="3" topLeftCell="A4" activePane="bottomLeft" state="frozen"/>
      <selection pane="bottomLeft" activeCell="A1" sqref="A1"/>
    </sheetView>
  </sheetViews>
  <sheetFormatPr baseColWidth="8" defaultColWidth="3" defaultRowHeight="18"/>
  <cols>
    <col width="22" customWidth="1" min="1" max="1"/>
    <col width="42" customWidth="1" min="2" max="2"/>
    <col width="48" customWidth="1" min="3" max="3"/>
    <col width="48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</cols>
  <sheetData>
    <row r="1" ht="32" customHeight="1">
      <c r="A1" s="6" t="inlineStr">
        <is>
          <t>たとえ話</t>
        </is>
      </c>
      <c r="B1" s="6" t="n"/>
      <c r="C1" s="6" t="n"/>
      <c r="D1" s="6" t="n"/>
    </row>
    <row r="2" ht="36" customHeight="1">
      <c r="A2" s="7" t="inlineStr">
        <is>
          <t>このシートだけで、机とロッカーと引き出しの関係が追える。あとのシートは同じ絵の正式な名前である。</t>
        </is>
      </c>
      <c r="B2" s="7" t="n"/>
      <c r="C2" s="7" t="n"/>
      <c r="D2" s="7" t="n"/>
    </row>
    <row r="3" ht="102" customHeight="1">
      <c r="A3" s="3" t="inlineStr">
        <is>
          <t>たとえの名前</t>
        </is>
      </c>
      <c r="B3" s="3" t="inlineStr">
        <is>
          <t>教室では何か</t>
        </is>
      </c>
      <c r="C3" s="3" t="inlineStr">
        <is>
          <t>コンピューターでは何か</t>
        </is>
      </c>
      <c r="D3" s="3" t="inlineStr">
        <is>
          <t>10本にするとどうなるか</t>
        </is>
      </c>
    </row>
    <row r="4" ht="38" customHeight="1">
      <c r="A4" s="4" t="inlineStr">
        <is>
          <t>教室</t>
        </is>
      </c>
      <c r="B4" s="4" t="inlineStr">
        <is>
          <t>このクラス専用の部屋。ビルの中の一部屋。</t>
        </is>
      </c>
      <c r="C4" s="4" t="inlineStr">
        <is>
          <t>EC2インスタンス。Nitroが貸しているゲスト。</t>
        </is>
      </c>
      <c r="D4" s="4" t="inlineStr">
        <is>
          <t>教室は1つのまま。作業員を増やしても部屋は増えない。</t>
        </is>
      </c>
    </row>
    <row r="5" ht="38" customHeight="1">
      <c r="A5" s="5" t="inlineStr">
        <is>
          <t>ビルの管理人</t>
        </is>
      </c>
      <c r="B5" s="5" t="inlineStr">
        <is>
          <t>机の脚数とロッカーの大きさを決めて貸す人。</t>
        </is>
      </c>
      <c r="C5" s="5" t="inlineStr">
        <is>
          <t>Nitroハイパーバイザ。vCPUとメモリを割り当てる。</t>
        </is>
      </c>
      <c r="D5" s="5" t="inlineStr">
        <is>
          <t>管理人の貸与量は、子の本数では変わらない。</t>
        </is>
      </c>
    </row>
    <row r="6" ht="22" customHeight="1">
      <c r="A6" s="4" t="inlineStr">
        <is>
          <t>机</t>
        </is>
      </c>
      <c r="B6" s="4" t="inlineStr">
        <is>
          <t>同時に計算できる席。</t>
        </is>
      </c>
      <c r="C6" s="4" t="inlineStr">
        <is>
          <t>vCPU。lscpuのCPU(s)。</t>
        </is>
      </c>
      <c r="D6" s="4" t="inlineStr">
        <is>
          <t>10人呼んでも机が8脚なら、2人は立つ。</t>
        </is>
      </c>
    </row>
    <row r="7" ht="38" customHeight="1">
      <c r="A7" s="5" t="inlineStr">
        <is>
          <t>机の種類</t>
        </is>
      </c>
      <c r="B7" s="5" t="inlineStr">
        <is>
          <t>1つの広い机か、1つの台を2人で使う机か。</t>
        </is>
      </c>
      <c r="C7" s="5" t="inlineStr">
        <is>
          <t>Thread(s) per core。1ならコアそのもの。2ならハイパースレッド。</t>
        </is>
      </c>
      <c r="D7" s="5" t="inlineStr">
        <is>
          <t>人数の計算は、見える机の数で行う。</t>
        </is>
      </c>
    </row>
    <row r="8" ht="38" customHeight="1">
      <c r="A8" s="4" t="inlineStr">
        <is>
          <t>ロッカー</t>
        </is>
      </c>
      <c r="B8" s="4" t="inlineStr">
        <is>
          <t>大きさが決まっている収納。</t>
        </is>
      </c>
      <c r="C8" s="4" t="inlineStr">
        <is>
          <t>物理メモリ。freeのMem。</t>
        </is>
      </c>
      <c r="D8" s="4" t="inlineStr">
        <is>
          <t>引き出しの合計がロッカーを超えると、廊下の倉庫へ行く。</t>
        </is>
      </c>
    </row>
    <row r="9" ht="38" customHeight="1">
      <c r="A9" s="5" t="inlineStr">
        <is>
          <t>先生</t>
        </is>
      </c>
      <c r="B9" s="5" t="inlineStr">
        <is>
          <t>宿題を配り、終わったかを見る人。自分では全部解かない。</t>
        </is>
      </c>
      <c r="C9" s="5" t="inlineStr">
        <is>
          <t>親JVM。1プロセス。</t>
        </is>
      </c>
      <c r="D9" s="5" t="inlineStr">
        <is>
          <t>先生は1人のまま。枠が10あるかを数える。</t>
        </is>
      </c>
    </row>
    <row r="10" ht="22" customHeight="1">
      <c r="A10" s="4" t="inlineStr">
        <is>
          <t>作業員</t>
        </is>
      </c>
      <c r="B10" s="4" t="inlineStr">
        <is>
          <t>宿題を解く人。同時に10人まで。</t>
        </is>
      </c>
      <c r="C10" s="4" t="inlineStr">
        <is>
          <t>子JVM。業務処理の本体。</t>
        </is>
      </c>
      <c r="D10" s="4" t="inlineStr">
        <is>
          <t>10人が同時に自分の引き出しを広げる。</t>
        </is>
      </c>
    </row>
    <row r="11" ht="38" customHeight="1">
      <c r="A11" s="5" t="inlineStr">
        <is>
          <t>引き出し</t>
        </is>
      </c>
      <c r="B11" s="5" t="inlineStr">
        <is>
          <t>となりからは中が見えない、その人専用の場所。</t>
        </is>
      </c>
      <c r="C11" s="5" t="inlineStr">
        <is>
          <t>Javaヒープ。-Xmxが上限。</t>
        </is>
      </c>
      <c r="D11" s="5" t="inlineStr">
        <is>
          <t>上限は人数分だけ足す。中身は共有しない。</t>
        </is>
      </c>
    </row>
    <row r="12" ht="38" customHeight="1">
      <c r="A12" s="4" t="inlineStr">
        <is>
          <t>手</t>
        </is>
      </c>
      <c r="B12" s="4" t="inlineStr">
        <is>
          <t>1人がたくさんの手を持てる。寝ている手は机を使わない。</t>
        </is>
      </c>
      <c r="C12" s="4" t="inlineStr">
        <is>
          <t>スレッド。Linuxではタスク。</t>
        </is>
      </c>
      <c r="D12" s="4" t="inlineStr">
        <is>
          <t>GCのときに、各人が机の数だけ手を起こそうとすることがある。</t>
        </is>
      </c>
    </row>
    <row r="13" ht="38" customHeight="1">
      <c r="A13" s="5" t="inlineStr">
        <is>
          <t>開いた教科書</t>
        </is>
      </c>
      <c r="B13" s="5" t="inlineStr">
        <is>
          <t>台の上に1冊あり、みんなで同じページを見る。</t>
        </is>
      </c>
      <c r="C13" s="5" t="inlineStr">
        <is>
          <t>ページキャッシュ上の.so、JAR、CDSアーカイブ。</t>
        </is>
      </c>
      <c r="D13" s="5" t="inlineStr">
        <is>
          <t>RSSを人数分足すと、この教科書を人数分に数えてしまう。</t>
        </is>
      </c>
    </row>
    <row r="14" ht="38" customHeight="1">
      <c r="A14" s="4" t="inlineStr">
        <is>
          <t>廊下の倉庫</t>
        </is>
      </c>
      <c r="B14" s="4" t="inlineStr">
        <is>
          <t>遠いので、取りに行くあいだ仕事が止まる。</t>
        </is>
      </c>
      <c r="C14" s="4" t="inlineStr">
        <is>
          <t>スワップ。無い教室もある。</t>
        </is>
      </c>
      <c r="D14" s="4" t="inlineStr">
        <is>
          <t>GCが倉庫のページに触ると、停止が長くなる。</t>
        </is>
      </c>
    </row>
    <row r="15" ht="38" customHeight="1">
      <c r="A15" s="5" t="inlineStr">
        <is>
          <t>日記係</t>
        </is>
      </c>
      <c r="B15" s="5" t="inlineStr">
        <is>
          <t>数秒ごとに、机とロッカーと倉庫を書き残す人。</t>
        </is>
      </c>
      <c r="C15" s="5" t="inlineStr">
        <is>
          <t>sarとsadc。sysstat。</t>
        </is>
      </c>
      <c r="D15" s="5" t="inlineStr">
        <is>
          <t>10分ごとの日記では、数分の山が平均に溶ける。試験は1秒で書く。</t>
        </is>
      </c>
    </row>
    <row r="16" ht="38" customHeight="1">
      <c r="A16" s="4" t="inlineStr">
        <is>
          <t>時計係や手紙係</t>
        </is>
      </c>
      <c r="B16" s="4" t="inlineStr">
        <is>
          <t>作業員ではないが、同じ机と同じロッカーを使う。</t>
        </is>
      </c>
      <c r="C16" s="4" t="inlineStr">
        <is>
          <t>chronyd、sshd、SSM、journald、監査。</t>
        </is>
      </c>
      <c r="D16" s="4" t="inlineStr">
        <is>
          <t>ピークの前に、この人たちの使用量を写真に残す。</t>
        </is>
      </c>
    </row>
  </sheetData>
  <autoFilter ref="A3:D16"/>
  <mergeCells count="2">
    <mergeCell ref="A1:D1"/>
    <mergeCell ref="A2:D2"/>
  </mergeCells>
  <printOptions horizontalCentered="1"/>
  <pageMargins left="0.45" right="0.45" top="0.7" bottom="0.55" header="0.26" footer="0.26"/>
  <pageSetup orientation="landscape" paperSize="8" scale="70" fitToHeight="0" fitToWidth="1" horizontalDpi="300" verticalDpi="300"/>
  <headerFooter>
    <oddHeader>&amp;L&amp;"Meiryo UI"&amp;9親子JVMのプロセス・メモリ・vCPU&amp;C&amp;R&amp;"Meiryo UI"&amp;9確認日 2026-10-14</oddHeader>
    <oddFooter>&amp;L&amp;"Meiryo UI"&amp;8見本の数字は仮の値。実測は対象サーバで採取する。&amp;C&amp;"Meiryo UI"&amp;9たとえ話&amp;R&amp;"Meiryo UI"&amp;9&amp;P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5C5C5C"/>
    <outlinePr summaryBelow="1" summaryRight="1"/>
    <pageSetUpPr fitToPage="1"/>
  </sheetPr>
  <dimension ref="A1:E14"/>
  <sheetViews>
    <sheetView showGridLines="0" view="normal" zoomScale="100" workbookViewId="0">
      <pane ySplit="3" topLeftCell="A4" activePane="bottomLeft" state="frozen"/>
      <selection pane="bottomLeft" activeCell="A1" sqref="A1"/>
    </sheetView>
  </sheetViews>
  <sheetFormatPr baseColWidth="8" defaultColWidth="3" defaultRowHeight="18"/>
  <cols>
    <col width="24" customWidth="1" min="1" max="1"/>
    <col width="40" customWidth="1" min="2" max="2"/>
    <col width="40" customWidth="1" min="3" max="3"/>
    <col width="42" customWidth="1" min="4" max="4"/>
    <col width="40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</cols>
  <sheetData>
    <row r="1" ht="32" customHeight="1">
      <c r="A1" s="6" t="inlineStr">
        <is>
          <t>関係マップ</t>
        </is>
      </c>
      <c r="B1" s="6" t="n"/>
      <c r="C1" s="6" t="n"/>
      <c r="D1" s="6" t="n"/>
      <c r="E1" s="6" t="n"/>
    </row>
    <row r="2" ht="36" customHeight="1">
      <c r="A2" s="7" t="inlineStr">
        <is>
          <t>プロセスは分かれ、机とロッカーは1つ、という対応表。試験で「どの列を見るか」までセットにしてある。</t>
        </is>
      </c>
      <c r="B2" s="7" t="n"/>
      <c r="C2" s="7" t="n"/>
      <c r="D2" s="7" t="n"/>
      <c r="E2" s="7" t="n"/>
    </row>
    <row r="3" ht="86" customHeight="1">
      <c r="A3" s="3" t="inlineStr">
        <is>
          <t>もの</t>
        </is>
      </c>
      <c r="B3" s="3" t="inlineStr">
        <is>
          <t>親と子</t>
        </is>
      </c>
      <c r="C3" s="3" t="inlineStr">
        <is>
          <t>子どうし</t>
        </is>
      </c>
      <c r="D3" s="3" t="inlineStr">
        <is>
          <t>ほかのプロセス</t>
        </is>
      </c>
      <c r="E3" s="3" t="inlineStr">
        <is>
          <t>試験で見る場所</t>
        </is>
      </c>
    </row>
    <row r="4" ht="22" customHeight="1">
      <c r="A4" s="4" t="inlineStr">
        <is>
          <t>プロセス</t>
        </is>
      </c>
      <c r="B4" s="4" t="inlineStr">
        <is>
          <t>PIDが違う。子のPPIDは親を指す。</t>
        </is>
      </c>
      <c r="C4" s="4" t="inlineStr">
        <is>
          <t>別プロセス。</t>
        </is>
      </c>
      <c r="D4" s="4" t="inlineStr">
        <is>
          <t>systemd以下の常駐とは別。</t>
        </is>
      </c>
      <c r="E4" s="4" t="inlineStr">
        <is>
          <t>ps -o pid,ppid,nlwp,rss,vsz,cmd</t>
        </is>
      </c>
    </row>
    <row r="5" ht="22" customHeight="1">
      <c r="A5" s="5" t="inlineStr">
        <is>
          <t>Javaヒープ</t>
        </is>
      </c>
      <c r="B5" s="5" t="inlineStr">
        <is>
          <t>親の-Xmxと子の-Xmxは別。</t>
        </is>
      </c>
      <c r="C5" s="5" t="inlineStr">
        <is>
          <t>共有しない。10本なら最大10個。</t>
        </is>
      </c>
      <c r="D5" s="5" t="inlineStr">
        <is>
          <t>JVM以外はヒープを持たない。</t>
        </is>
      </c>
      <c r="E5" s="5" t="inlineStr">
        <is>
          <t>jcmd VM.flags と GC.heap_info</t>
        </is>
      </c>
    </row>
    <row r="6" ht="38" customHeight="1">
      <c r="A6" s="4" t="inlineStr">
        <is>
          <t>スレッド</t>
        </is>
      </c>
      <c r="B6" s="4" t="inlineStr">
        <is>
          <t>各自が持つ。親のスレッドから子のヒープは見えない。</t>
        </is>
      </c>
      <c r="C6" s="4" t="inlineStr">
        <is>
          <t>同じヒープを共有するのは、同じ子の中だけ。</t>
        </is>
      </c>
      <c r="D6" s="4" t="inlineStr">
        <is>
          <t>OSプロセスもスレッドを持つ。</t>
        </is>
      </c>
      <c r="E6" s="4" t="inlineStr">
        <is>
          <t>pidstat -t -u -p PID</t>
        </is>
      </c>
    </row>
    <row r="7" ht="38" customHeight="1">
      <c r="A7" s="5" t="inlineStr">
        <is>
          <t>物理メモリ</t>
        </is>
      </c>
      <c r="B7" s="5" t="inlineStr">
        <is>
          <t>1つのロッカーを分け合う。</t>
        </is>
      </c>
      <c r="C7" s="5" t="inlineStr">
        <is>
          <t>同じ。</t>
        </is>
      </c>
      <c r="D7" s="5" t="inlineStr">
        <is>
          <t>同じ。</t>
        </is>
      </c>
      <c r="E7" s="5" t="inlineStr">
        <is>
          <t>sar -r ALL の kbavail と kbanonpg</t>
        </is>
      </c>
    </row>
    <row r="8" ht="38" customHeight="1">
      <c r="A8" s="4" t="inlineStr">
        <is>
          <t>ページキャッシュ</t>
        </is>
      </c>
      <c r="B8" s="4" t="inlineStr">
        <is>
          <t>JDKの共有ライブラリとCDSは共有できる。</t>
        </is>
      </c>
      <c r="C8" s="4" t="inlineStr">
        <is>
          <t>同じファイルページを使える。</t>
        </is>
      </c>
      <c r="D8" s="4" t="inlineStr">
        <is>
          <t>ログや入力ファイルのキャッシュとも同じ領域。</t>
        </is>
      </c>
      <c r="E8" s="4" t="inlineStr">
        <is>
          <t>kbcached と smaps_rollup の Shared_Clean</t>
        </is>
      </c>
    </row>
    <row r="9" ht="38" customHeight="1">
      <c r="A9" s="5" t="inlineStr">
        <is>
          <t>vCPU</t>
        </is>
      </c>
      <c r="B9" s="5" t="inlineStr">
        <is>
          <t>1組の机を時間で分け合う。</t>
        </is>
      </c>
      <c r="C9" s="5" t="inlineStr">
        <is>
          <t>同じ。</t>
        </is>
      </c>
      <c r="D9" s="5" t="inlineStr">
        <is>
          <t>sar自身、sshd、chronydとも分け合う。</t>
        </is>
      </c>
      <c r="E9" s="5" t="inlineStr">
        <is>
          <t>sar -u ALL -P ALL と sar -q</t>
        </is>
      </c>
    </row>
    <row r="10" ht="38" customHeight="1">
      <c r="A10" s="4" t="inlineStr">
        <is>
          <t>ファイルディスクリプタ</t>
        </is>
      </c>
      <c r="B10" s="4" t="inlineStr">
        <is>
          <t>起動時に閉じ忘れを受け継ぐことがある。</t>
        </is>
      </c>
      <c r="C10" s="4" t="inlineStr">
        <is>
          <t>各プロセスが自分の表を持つ。</t>
        </is>
      </c>
      <c r="D10" s="4" t="inlineStr">
        <is>
          <t>上限はsystemdのLimitNOFILEを受け継ぐ。</t>
        </is>
      </c>
      <c r="E10" s="4" t="inlineStr">
        <is>
          <t>/proc/PID/limits と fd</t>
        </is>
      </c>
    </row>
    <row r="11" ht="22" customHeight="1">
      <c r="A11" s="5" t="inlineStr">
        <is>
          <t>ディスク</t>
        </is>
      </c>
      <c r="B11" s="5" t="inlineStr">
        <is>
          <t>EBSは1つの通路。</t>
        </is>
      </c>
      <c r="C11" s="5" t="inlineStr">
        <is>
          <t>ログもGCログも同じキュー。</t>
        </is>
      </c>
      <c r="D11" s="5" t="inlineStr">
        <is>
          <t>sar -o の書き込みも同じ通路。</t>
        </is>
      </c>
      <c r="E11" s="5" t="inlineStr">
        <is>
          <t>sar -d -p の await と aqu-sz</t>
        </is>
      </c>
    </row>
    <row r="12" ht="38" customHeight="1">
      <c r="A12" s="4" t="inlineStr">
        <is>
          <t>ネットワークとDB</t>
        </is>
      </c>
      <c r="B12" s="4" t="inlineStr">
        <is>
          <t>子が接続する。親が接続することもある。</t>
        </is>
      </c>
      <c r="C12" s="4" t="inlineStr">
        <is>
          <t>プールを本数で足す。</t>
        </is>
      </c>
      <c r="D12" s="4" t="inlineStr">
        <is>
          <t>SSMや更新も同じNIC。</t>
        </is>
      </c>
      <c r="E12" s="4" t="inlineStr">
        <is>
          <t>sar -n DEV。DB待ちはidleが大きい形。</t>
        </is>
      </c>
    </row>
    <row r="13" ht="38" customHeight="1">
      <c r="A13" s="5" t="inlineStr">
        <is>
          <t>終了</t>
        </is>
      </c>
      <c r="B13" s="5" t="inlineStr">
        <is>
          <t>子が落ちても親は残せる。</t>
        </is>
      </c>
      <c r="C13" s="5" t="inlineStr">
        <is>
          <t>1本のFull GCはそのJVMの中。</t>
        </is>
      </c>
      <c r="D13" s="5" t="inlineStr">
        <is>
          <t>メモリ不足では大きいRSSが終了対象になりやすい。</t>
        </is>
      </c>
      <c r="E13" s="5" t="inlineStr">
        <is>
          <t>PPID、dmesg の Killed process</t>
        </is>
      </c>
    </row>
    <row r="14" ht="38" customHeight="1">
      <c r="A14" s="4" t="inlineStr">
        <is>
          <t>標準出力</t>
        </is>
      </c>
      <c r="B14" s="4" t="inlineStr">
        <is>
          <t>親がパイプを読まないと、子の書き込みが止まる。</t>
        </is>
      </c>
      <c r="C14" s="4" t="inlineStr">
        <is>
          <t>各子のパイプは独立。</t>
        </is>
      </c>
      <c r="D14" s="4" t="inlineStr">
        <is>
          <t>関係するのは親と子の対。</t>
        </is>
      </c>
      <c r="E14" s="4" t="inlineStr">
        <is>
          <t>ps -o stat,wchan</t>
        </is>
      </c>
    </row>
  </sheetData>
  <autoFilter ref="A3:E14"/>
  <mergeCells count="2">
    <mergeCell ref="A2:E2"/>
    <mergeCell ref="A1:E1"/>
  </mergeCells>
  <printOptions horizontalCentered="1"/>
  <pageMargins left="0.45" right="0.45" top="0.7" bottom="0.55" header="0.26" footer="0.26"/>
  <pageSetup orientation="landscape" paperSize="8" scale="70" fitToHeight="0" fitToWidth="1" horizontalDpi="300" verticalDpi="300"/>
  <headerFooter>
    <oddHeader>&amp;L&amp;"Meiryo UI"&amp;9親子JVMのプロセス・メモリ・vCPU&amp;C&amp;R&amp;"Meiryo UI"&amp;9確認日 2026-10-14</oddHeader>
    <oddFooter>&amp;L&amp;"Meiryo UI"&amp;8見本の数字は仮の値。実測は対象サーバで採取する。&amp;C&amp;"Meiryo UI"&amp;9関係マップ&amp;R&amp;"Meiryo UI"&amp;9&amp;P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5C5C5C"/>
    <outlinePr summaryBelow="1" summaryRight="1"/>
    <pageSetUpPr fitToPage="1"/>
  </sheetPr>
  <dimension ref="A1:E14"/>
  <sheetViews>
    <sheetView showGridLines="0" view="normal" zoomScale="100" workbookViewId="0">
      <pane ySplit="3" topLeftCell="A4" activePane="bottomLeft" state="frozen"/>
      <selection pane="bottomLeft" activeCell="A1" sqref="A1"/>
    </sheetView>
  </sheetViews>
  <sheetFormatPr baseColWidth="8" defaultColWidth="3" defaultRowHeight="18"/>
  <cols>
    <col width="8" customWidth="1" min="1" max="1"/>
    <col width="48" customWidth="1" min="2" max="2"/>
    <col width="42" customWidth="1" min="3" max="3"/>
    <col width="40" customWidth="1" min="4" max="4"/>
    <col width="36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</cols>
  <sheetData>
    <row r="1" ht="32" customHeight="1">
      <c r="A1" s="6" t="inlineStr">
        <is>
          <t>子が起動する順</t>
        </is>
      </c>
      <c r="B1" s="6" t="n"/>
      <c r="C1" s="6" t="n"/>
      <c r="D1" s="6" t="n"/>
      <c r="E1" s="6" t="n"/>
    </row>
    <row r="2" ht="36" customHeight="1">
      <c r="A2" s="7" t="inlineStr">
        <is>
          <t>1本の子の寿命。10本が重なると、この列が最大10本同時に進む。</t>
        </is>
      </c>
      <c r="B2" s="7" t="n"/>
      <c r="C2" s="7" t="n"/>
      <c r="D2" s="7" t="n"/>
      <c r="E2" s="7" t="n"/>
    </row>
    <row r="3" ht="86" customHeight="1">
      <c r="A3" s="3" t="inlineStr">
        <is>
          <t>順</t>
        </is>
      </c>
      <c r="B3" s="3" t="inlineStr">
        <is>
          <t>起きること</t>
        </is>
      </c>
      <c r="C3" s="3" t="inlineStr">
        <is>
          <t>メモリの見え方</t>
        </is>
      </c>
      <c r="D3" s="3" t="inlineStr">
        <is>
          <t>CPUの見え方</t>
        </is>
      </c>
      <c r="E3" s="3" t="inlineStr">
        <is>
          <t>試験での印</t>
        </is>
      </c>
    </row>
    <row r="4" ht="38" customHeight="1">
      <c r="A4" s="4" t="inlineStr">
        <is>
          <t>1</t>
        </is>
      </c>
      <c r="B4" s="4" t="inlineStr">
        <is>
          <t>親は既に居て、同時実行中の子が10未満かを見る。</t>
        </is>
      </c>
      <c r="C4" s="4" t="inlineStr">
        <is>
          <t>親のRSSは居座ったまま。</t>
        </is>
      </c>
      <c r="D4" s="4" t="inlineStr">
        <is>
          <t>親は待ちが中心で、CPUは小さいことが多い。</t>
        </is>
      </c>
      <c r="E4" s="4" t="inlineStr">
        <is>
          <t>写真A。親だけのRSSとNMT。</t>
        </is>
      </c>
    </row>
    <row r="5" ht="38" customHeight="1">
      <c r="A5" s="5" t="inlineStr">
        <is>
          <t>2</t>
        </is>
      </c>
      <c r="B5" s="5" t="inlineStr">
        <is>
          <t>ProcessBuilderが子を起動する。OpenJDK 21の既定はposix_spawn。</t>
        </is>
      </c>
      <c r="C5" s="5" t="inlineStr">
        <is>
          <t>親ヒープの複製は作らない。</t>
        </is>
      </c>
      <c r="D5" s="5" t="inlineStr">
        <is>
          <t>jspawnhelperが瞬間的に現れる。</t>
        </is>
      </c>
      <c r="E5" s="5" t="inlineStr">
        <is>
          <t>psにjspawnhelperが残像のように出る。</t>
        </is>
      </c>
    </row>
    <row r="6" ht="38" customHeight="1">
      <c r="A6" s="4" t="inlineStr">
        <is>
          <t>3</t>
        </is>
      </c>
      <c r="B6" s="4" t="inlineStr">
        <is>
          <t>execのあと、子は新しいjavaプロセスになる。</t>
        </is>
      </c>
      <c r="C6" s="4" t="inlineStr">
        <is>
          <t>VSZが-Xmx付近まで広がる。RSSはまだ上限未満であることが多い。</t>
        </is>
      </c>
      <c r="D6" s="4" t="inlineStr">
        <is>
          <t>ローダが.soを読む。</t>
        </is>
      </c>
      <c r="E6" s="4" t="inlineStr">
        <is>
          <t>pidstatのVSZとRSSの差。</t>
        </is>
      </c>
    </row>
    <row r="7" ht="38" customHeight="1">
      <c r="A7" s="5" t="inlineStr">
        <is>
          <t>4</t>
        </is>
      </c>
      <c r="B7" s="5" t="inlineStr">
        <is>
          <t>GCスレッド、JITスレッド、業務スレッドが生まれる。</t>
        </is>
      </c>
      <c r="C7" s="5" t="inlineStr">
        <is>
          <t>スタック×本数だけ私有メモリが増える。</t>
        </is>
      </c>
      <c r="D7" s="5" t="inlineStr">
        <is>
          <t>起動直後はC1/C2がuser時間を使う。</t>
        </is>
      </c>
      <c r="E7" s="5" t="inlineStr">
        <is>
          <t>Thread.printのC2 CompilerThread。</t>
        </is>
      </c>
    </row>
    <row r="8" ht="38" customHeight="1">
      <c r="A8" s="4" t="inlineStr">
        <is>
          <t>5</t>
        </is>
      </c>
      <c r="B8" s="4" t="inlineStr">
        <is>
          <t>CDSが一致すれば、読み取り専用ページを共有する。</t>
        </is>
      </c>
      <c r="C8" s="4" t="inlineStr">
        <is>
          <t>Shared_Cleanに教科書が載る。</t>
        </is>
      </c>
      <c r="D8" s="4" t="inlineStr">
        <is>
          <t>クラスロードのCPUとディスク読みが減る。</t>
        </is>
      </c>
      <c r="E8" s="4" t="inlineStr">
        <is>
          <t>-Xlog:cds。共有失敗でも起動は続く。</t>
        </is>
      </c>
    </row>
    <row r="9" ht="54" customHeight="1">
      <c r="A9" s="5" t="inlineStr">
        <is>
          <t>6</t>
        </is>
      </c>
      <c r="B9" s="5" t="inlineStr">
        <is>
          <t>業務がオブジェクトを作る。</t>
        </is>
      </c>
      <c r="C9" s="5" t="inlineStr">
        <is>
          <t>触ったページだけRSSとAnonPagesが上がる。AlwaysPreTouchなら起動時に上がる。</t>
        </is>
      </c>
      <c r="D9" s="5" t="inlineStr">
        <is>
          <t>ユーザモードの計算。</t>
        </is>
      </c>
      <c r="E9" s="5" t="inlineStr">
        <is>
          <t>フラグにAlwaysPreTouchがあるかを先に見る。</t>
        </is>
      </c>
    </row>
    <row r="10" ht="54" customHeight="1">
      <c r="A10" s="4" t="inlineStr">
        <is>
          <t>7</t>
        </is>
      </c>
      <c r="B10" s="4" t="inlineStr">
        <is>
          <t>Young GCが走る。</t>
        </is>
      </c>
      <c r="C10" s="4" t="inlineStr">
        <is>
          <t>ヒープの中でコピーが進む。スワップされているとここでディスクに触る。</t>
        </is>
      </c>
      <c r="D10" s="4" t="inlineStr">
        <is>
          <t>ParallelGCThreads本が同時に走ろうとする。</t>
        </is>
      </c>
      <c r="E10" s="4" t="inlineStr">
        <is>
          <t>GCログの時刻とrunq-szの山。</t>
        </is>
      </c>
    </row>
    <row r="11" ht="38" customHeight="1">
      <c r="A11" s="5" t="inlineStr">
        <is>
          <t>8</t>
        </is>
      </c>
      <c r="B11" s="5" t="inlineStr">
        <is>
          <t>JDBCやファイルの返事を待つ。</t>
        </is>
      </c>
      <c r="C11" s="5" t="inlineStr">
        <is>
          <t>ヒープはそのまま居住する。</t>
        </is>
      </c>
      <c r="D11" s="5" t="inlineStr">
        <is>
          <t>そのスレッドはSになり、机を使わない。idleが残る。</t>
        </is>
      </c>
      <c r="E11" s="5" t="inlineStr">
        <is>
          <t>idleが高く、経過時間だけ長い形。</t>
        </is>
      </c>
    </row>
    <row r="12" ht="38" customHeight="1">
      <c r="A12" s="4" t="inlineStr">
        <is>
          <t>9</t>
        </is>
      </c>
      <c r="B12" s="4" t="inlineStr">
        <is>
          <t>子が終了する。</t>
        </is>
      </c>
      <c r="C12" s="4" t="inlineStr">
        <is>
          <t>その子の匿名ページは返る。JARのキャッシュは残る。</t>
        </is>
      </c>
      <c r="D12" s="4" t="inlineStr">
        <is>
          <t>そのPIDのCPUが消える。</t>
        </is>
      </c>
      <c r="E12" s="4" t="inlineStr">
        <is>
          <t>写真Dでkbanonpgが戻るか。</t>
        </is>
      </c>
    </row>
    <row r="13" ht="38" customHeight="1">
      <c r="A13" s="5" t="inlineStr">
        <is>
          <t>10</t>
        </is>
      </c>
      <c r="B13" s="5" t="inlineStr">
        <is>
          <t>親が終了コードを受け、空いた枠で次を起動する。</t>
        </is>
      </c>
      <c r="C13" s="5" t="inlineStr">
        <is>
          <t>親のメタスペースは、子が終わっても自動では空にならない。</t>
        </is>
      </c>
      <c r="D13" s="5" t="inlineStr">
        <is>
          <t>proc/sに次の起動の山。</t>
        </is>
      </c>
      <c r="E13" s="5" t="inlineStr">
        <is>
          <t>写真AとDで親のClassとFDを比べる。</t>
        </is>
      </c>
    </row>
    <row r="14" ht="38" customHeight="1">
      <c r="A14" s="4" t="inlineStr">
        <is>
          <t>11</t>
        </is>
      </c>
      <c r="B14" s="4" t="inlineStr">
        <is>
          <t>親が先に死ぬと、子のPPIDが1になることがある。</t>
        </is>
      </c>
      <c r="C14" s="4" t="inlineStr">
        <is>
          <t>子のヒープは残る。</t>
        </is>
      </c>
      <c r="D14" s="4" t="inlineStr">
        <is>
          <t>止めたつもりでもCPUが残る。</t>
        </is>
      </c>
      <c r="E14" s="4" t="inlineStr">
        <is>
          <t>psのPPIDが1のjava。</t>
        </is>
      </c>
    </row>
  </sheetData>
  <autoFilter ref="A3:E14"/>
  <mergeCells count="2">
    <mergeCell ref="A2:E2"/>
    <mergeCell ref="A1:E1"/>
  </mergeCells>
  <printOptions horizontalCentered="1"/>
  <pageMargins left="0.45" right="0.45" top="0.7" bottom="0.55" header="0.26" footer="0.26"/>
  <pageSetup orientation="landscape" paperSize="8" scale="70" fitToHeight="0" fitToWidth="1" horizontalDpi="300" verticalDpi="300"/>
  <headerFooter>
    <oddHeader>&amp;L&amp;"Meiryo UI"&amp;9親子JVMのプロセス・メモリ・vCPU&amp;C&amp;R&amp;"Meiryo UI"&amp;9確認日 2026-10-14</oddHeader>
    <oddFooter>&amp;L&amp;"Meiryo UI"&amp;8見本の数字は仮の値。実測は対象サーバで採取する。&amp;C&amp;"Meiryo UI"&amp;9子が起動する順&amp;R&amp;"Meiryo UI"&amp;9&amp;P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5C5C5C"/>
    <outlinePr summaryBelow="1" summaryRight="1"/>
    <pageSetUpPr fitToPage="1"/>
  </sheetPr>
  <dimension ref="A1:D17"/>
  <sheetViews>
    <sheetView showGridLines="0" view="normal" zoomScale="100" workbookViewId="0">
      <pane ySplit="3" topLeftCell="A4" activePane="bottomLeft" state="frozen"/>
      <selection pane="bottomLeft" activeCell="A1" sqref="A1"/>
    </sheetView>
  </sheetViews>
  <sheetFormatPr baseColWidth="8" defaultColWidth="3" defaultRowHeight="18"/>
  <cols>
    <col width="18" customWidth="1" min="1" max="1"/>
    <col width="42" customWidth="1" min="2" max="2"/>
    <col width="46" customWidth="1" min="3" max="3"/>
    <col width="48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</cols>
  <sheetData>
    <row r="1" ht="32" customHeight="1">
      <c r="A1" s="6" t="inlineStr">
        <is>
          <t>歴史</t>
        </is>
      </c>
      <c r="B1" s="6" t="n"/>
      <c r="C1" s="6" t="n"/>
      <c r="D1" s="6" t="n"/>
    </row>
    <row r="2" ht="36" customHeight="1">
      <c r="A2" s="7" t="inlineStr">
        <is>
          <t>この構成と、sarという日記が、なぜ必要になったかの時系列。年は公開情報に沿ったもの。</t>
        </is>
      </c>
      <c r="B2" s="7" t="n"/>
      <c r="C2" s="7" t="n"/>
      <c r="D2" s="7" t="n"/>
    </row>
    <row r="3" ht="70" customHeight="1">
      <c r="A3" s="3" t="inlineStr">
        <is>
          <t>年</t>
        </is>
      </c>
      <c r="B3" s="3" t="inlineStr">
        <is>
          <t>できごと</t>
        </is>
      </c>
      <c r="C3" s="3" t="inlineStr">
        <is>
          <t>当時の問題</t>
        </is>
      </c>
      <c r="D3" s="3" t="inlineStr">
        <is>
          <t>いまの親子JVMとの関係</t>
        </is>
      </c>
    </row>
    <row r="4" ht="38" customHeight="1">
      <c r="A4" s="4" t="inlineStr">
        <is>
          <t>1960年代</t>
        </is>
      </c>
      <c r="B4" s="4" t="inlineStr">
        <is>
          <t>仮想メモリがAtlasやMulticsで実用になる。仕事は列に並んだ。</t>
        </is>
      </c>
      <c r="C4" s="4" t="inlineStr">
        <is>
          <t>実メモリより大きい仕事を、住所の予約で扱いたかった。</t>
        </is>
      </c>
      <c r="D4" s="4" t="inlineStr">
        <is>
          <t>VSZが大きくRSSが小さい状態の祖先。-Xmxは予約の上限。</t>
        </is>
      </c>
    </row>
    <row r="5" ht="38" customHeight="1">
      <c r="A5" s="5" t="inlineStr">
        <is>
          <t>1969–1970年代</t>
        </is>
      </c>
      <c r="B5" s="5" t="inlineStr">
        <is>
          <t>Unixが生まれ、プロセス、fork、execが固まる。</t>
        </is>
      </c>
      <c r="C5" s="5" t="inlineStr">
        <is>
          <t>仕事ごとにメモリを分けたかった。</t>
        </is>
      </c>
      <c r="D5" s="5" t="inlineStr">
        <is>
          <t>親が子を起動する形の祖先。</t>
        </is>
      </c>
    </row>
    <row r="6" ht="54" customHeight="1">
      <c r="A6" s="4" t="inlineStr">
        <is>
          <t>1980年代</t>
        </is>
      </c>
      <c r="B6" s="4" t="inlineStr">
        <is>
          <t>System Vにsar（System Activity Reporter）が入る。メインフレームにはSMFとRMFがあった。</t>
        </is>
      </c>
      <c r="C6" s="4" t="inlineStr">
        <is>
          <t>夜のバッチの翌朝に、記憶ではなく記録で話したかった。</t>
        </is>
      </c>
      <c r="D6" s="4" t="inlineStr">
        <is>
          <t>性能試験でsarを取る、という手順の起源。</t>
        </is>
      </c>
    </row>
    <row r="7" ht="38" customHeight="1">
      <c r="A7" s="5" t="inlineStr">
        <is>
          <t>1995</t>
        </is>
      </c>
      <c r="B7" s="5" t="inlineStr">
        <is>
          <t>Javaが公開される。1プロセス、多数のスレッド、1つのヒープ。</t>
        </is>
      </c>
      <c r="C7" s="5" t="inlineStr">
        <is>
          <t>アプリサーバでオブジェクトを共有したかった。</t>
        </is>
      </c>
      <c r="D7" s="5" t="inlineStr">
        <is>
          <t>ヒープを共有する便利さと、GCが全員を止める代償。</t>
        </is>
      </c>
    </row>
    <row r="8" ht="38" customHeight="1">
      <c r="A8" s="4" t="inlineStr">
        <is>
          <t>1999ごろ</t>
        </is>
      </c>
      <c r="B8" s="4" t="inlineStr">
        <is>
          <t>Sebastien GodardがLinux向けsysstatを書き始める。</t>
        </is>
      </c>
      <c r="C8" s="4" t="inlineStr">
        <is>
          <t>Linuxが基幹に入っても、System Vの日記が欲しかった。</t>
        </is>
      </c>
      <c r="D8" s="4" t="inlineStr">
        <is>
          <t>RHEL 9.8のsarの直接の祖先。</t>
        </is>
      </c>
    </row>
    <row r="9" ht="38" customHeight="1">
      <c r="A9" s="5" t="inlineStr">
        <is>
          <t>2002</t>
        </is>
      </c>
      <c r="B9" s="5" t="inlineStr">
        <is>
          <t>NPTLがLinuxの実用的なスレッド実装になる。Red Hatが中心。</t>
        </is>
      </c>
      <c r="C9" s="5" t="inlineStr">
        <is>
          <t>Javaのスレッドを、重いプロセスなしに大量に動かしたかった。</t>
        </is>
      </c>
      <c r="D9" s="5" t="inlineStr">
        <is>
          <t>子JVMの中のスレッドは、いまNPTLのタスク。</t>
        </is>
      </c>
    </row>
    <row r="10" ht="38" customHeight="1">
      <c r="A10" s="4" t="inlineStr">
        <is>
          <t>2000年代</t>
        </is>
      </c>
      <c r="B10" s="4" t="inlineStr">
        <is>
          <t>クラスローダやOSGiで、1つのJVMの中を分けようとした。</t>
        </is>
      </c>
      <c r="C10" s="4" t="inlineStr">
        <is>
          <t>ジョブの静的状態とメタスペースが、終了後も残った。</t>
        </is>
      </c>
      <c r="D10" s="4" t="inlineStr">
        <is>
          <t>バッチが子プロセスへ戻った理由。</t>
        </is>
      </c>
    </row>
    <row r="11" ht="38" customHeight="1">
      <c r="A11" s="5" t="inlineStr">
        <is>
          <t>2006–2008</t>
        </is>
      </c>
      <c r="B11" s="5" t="inlineStr">
        <is>
          <t>cgroupがGoogleで生まれ、Linux 2.6.24に入る。</t>
        </is>
      </c>
      <c r="C11" s="5" t="inlineStr">
        <is>
          <t>1台のCPUとメモリをグループで分けたかった。</t>
        </is>
      </c>
      <c r="D11" s="5" t="inlineStr">
        <is>
          <t>RHEL 9のcgroup v2。上限が無いとJVMはマシン全体を自分の分母にする。</t>
        </is>
      </c>
    </row>
    <row r="12" ht="38" customHeight="1">
      <c r="A12" s="4" t="inlineStr">
        <is>
          <t>2017</t>
        </is>
      </c>
      <c r="B12" s="4" t="inlineStr">
        <is>
          <t>JDK 9でG1が既定GCになる。</t>
        </is>
      </c>
      <c r="C12" s="4" t="inlineStr">
        <is>
          <t>大きいヒープの停止時間を、領域単位で扱いたかった。</t>
        </is>
      </c>
      <c r="D12" s="4" t="inlineStr">
        <is>
          <t>OpenJDK 21の既定もG1。子10本はG1が10個。</t>
        </is>
      </c>
    </row>
    <row r="13" ht="38" customHeight="1">
      <c r="A13" s="5" t="inlineStr">
        <is>
          <t>2018</t>
        </is>
      </c>
      <c r="B13" s="5" t="inlineStr">
        <is>
          <t>JDK 10前後で、コンテナのメモリ上限をヒープ計算に使うようになる。</t>
        </is>
      </c>
      <c r="C13" s="5" t="inlineStr">
        <is>
          <t>JVMがホスト全メモリの4分の1を取ろうとしていた。</t>
        </is>
      </c>
      <c r="D13" s="5" t="inlineStr">
        <is>
          <t>CPUQuotaとMemoryMaxが、GC人数と-Xmx自動の分母になる。</t>
        </is>
      </c>
    </row>
    <row r="14" ht="38" customHeight="1">
      <c r="A14" s="4" t="inlineStr">
        <is>
          <t>JDK 13の系統</t>
        </is>
      </c>
      <c r="B14" s="4" t="inlineStr">
        <is>
          <t>Linuxの子プロセス起動の既定がposix_spawnになる。</t>
        </is>
      </c>
      <c r="C14" s="4" t="inlineStr">
        <is>
          <t>大きい親のforkが、メモリ予約だけで失敗していた。</t>
        </is>
      </c>
      <c r="D14" s="4" t="inlineStr">
        <is>
          <t>OpenJDK 21の親は、ヒープを複製せずに子を起動する。</t>
        </is>
      </c>
    </row>
    <row r="15" ht="38" customHeight="1">
      <c r="A15" s="5" t="inlineStr">
        <is>
          <t>2022-05-17</t>
        </is>
      </c>
      <c r="B15" s="5" t="inlineStr">
        <is>
          <t>RHEL 9.0が一般提供。カーネル5.14、cgroup v2が既定。</t>
        </is>
      </c>
      <c r="C15" s="5" t="inlineStr">
        <is>
          <t>v1の階層の複雑さを一本化したかった。</t>
        </is>
      </c>
      <c r="D15" s="5" t="inlineStr">
        <is>
          <t>PSI、smaps_rollup、cgroup v2が使える土台。</t>
        </is>
      </c>
    </row>
    <row r="16" ht="38" customHeight="1">
      <c r="A16" s="4" t="inlineStr">
        <is>
          <t>2023-09-19</t>
        </is>
      </c>
      <c r="B16" s="4" t="inlineStr">
        <is>
          <t>OpenJDK 21 LTS。仮想スレッドと世代別ZGC。</t>
        </is>
      </c>
      <c r="C16" s="4" t="inlineStr">
        <is>
          <t>待ちの多い処理を、OSスレッドより軽くしたかった。</t>
        </is>
      </c>
      <c r="D16" s="4" t="inlineStr">
        <is>
          <t>仮想スレッドは子の中の待ちを変える。プロセス数は減らない。</t>
        </is>
      </c>
    </row>
    <row r="17" ht="38" customHeight="1">
      <c r="A17" s="5" t="inlineStr">
        <is>
          <t>2026-05-19</t>
        </is>
      </c>
      <c r="B17" s="5" t="inlineStr">
        <is>
          <t>RHEL 9.8が一般提供。GAカーネルは5.14.0-687.5.1.el9_8。</t>
        </is>
      </c>
      <c r="C17" s="5" t="inlineStr">
        <is>
          <t>9系の機能更新の後期。フルサポートは2027-05-31まで。</t>
        </is>
      </c>
      <c r="D17" s="5" t="inlineStr">
        <is>
          <t>試験票に貼るのは、その日のuname -r。</t>
        </is>
      </c>
    </row>
  </sheetData>
  <autoFilter ref="A3:D17"/>
  <mergeCells count="2">
    <mergeCell ref="A1:D1"/>
    <mergeCell ref="A2:D2"/>
  </mergeCells>
  <printOptions horizontalCentered="1"/>
  <pageMargins left="0.45" right="0.45" top="0.7" bottom="0.55" header="0.26" footer="0.26"/>
  <pageSetup orientation="landscape" paperSize="8" scale="70" fitToHeight="0" fitToWidth="1" horizontalDpi="300" verticalDpi="300"/>
  <headerFooter>
    <oddHeader>&amp;L&amp;"Meiryo UI"&amp;9親子JVMのプロセス・メモリ・vCPU&amp;C&amp;R&amp;"Meiryo UI"&amp;9確認日 2026-10-14</oddHeader>
    <oddFooter>&amp;L&amp;"Meiryo UI"&amp;8見本の数字は仮の値。実測は対象サーバで採取する。&amp;C&amp;"Meiryo UI"&amp;9歴史&amp;R&amp;"Meiryo UI"&amp;9&amp;P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5C5C5C"/>
    <outlinePr summaryBelow="1" summaryRight="1"/>
    <pageSetUpPr fitToPage="1"/>
  </sheetPr>
  <dimension ref="A1:D15"/>
  <sheetViews>
    <sheetView showGridLines="0" view="normal" zoomScale="100" workbookViewId="0">
      <pane ySplit="3" topLeftCell="A4" activePane="bottomLeft" state="frozen"/>
      <selection pane="bottomLeft" activeCell="A1" sqref="A1"/>
    </sheetView>
  </sheetViews>
  <sheetFormatPr baseColWidth="8" defaultColWidth="3" defaultRowHeight="18"/>
  <cols>
    <col width="24" customWidth="1" min="1" max="1"/>
    <col width="48" customWidth="1" min="2" max="2"/>
    <col width="46" customWidth="1" min="3" max="3"/>
    <col width="36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</cols>
  <sheetData>
    <row r="1" ht="32" customHeight="1">
      <c r="A1" s="6" t="inlineStr">
        <is>
          <t>プロセス</t>
        </is>
      </c>
      <c r="B1" s="6" t="n"/>
      <c r="C1" s="6" t="n"/>
      <c r="D1" s="6" t="n"/>
    </row>
    <row r="2" ht="36" customHeight="1">
      <c r="A2" s="7" t="inlineStr">
        <is>
          <t>PID、スレッド、GCワーカー、起動方式。人数の式はシート「計算」と同じ。</t>
        </is>
      </c>
      <c r="B2" s="7" t="n"/>
      <c r="C2" s="7" t="n"/>
      <c r="D2" s="7" t="n"/>
    </row>
    <row r="3" ht="70" customHeight="1">
      <c r="A3" s="3" t="inlineStr">
        <is>
          <t>項目</t>
        </is>
      </c>
      <c r="B3" s="3" t="inlineStr">
        <is>
          <t>しくみ</t>
        </is>
      </c>
      <c r="C3" s="3" t="inlineStr">
        <is>
          <t>10本のときの意味</t>
        </is>
      </c>
      <c r="D3" s="3" t="inlineStr">
        <is>
          <t>確認コマンド</t>
        </is>
      </c>
    </row>
    <row r="4" ht="38" customHeight="1">
      <c r="A4" s="4" t="inlineStr">
        <is>
          <t>PIDとPPID</t>
        </is>
      </c>
      <c r="B4" s="4" t="inlineStr">
        <is>
          <t>プロセスはアドレス空間を持つ。PPIDは親。</t>
        </is>
      </c>
      <c r="C4" s="4" t="inlineStr">
        <is>
          <t>ピークは親1＋子10。終了後は親1。</t>
        </is>
      </c>
      <c r="D4" s="4" t="inlineStr">
        <is>
          <t>ps -o pid,ppid,lstart,cmd -C java</t>
        </is>
      </c>
    </row>
    <row r="5" ht="38" customHeight="1">
      <c r="A5" s="5" t="inlineStr">
        <is>
          <t>posix_spawn</t>
        </is>
      </c>
      <c r="B5" s="5" t="inlineStr">
        <is>
          <t>jspawnhelper経由でexecする。親のヒープはコピーしない。</t>
        </is>
      </c>
      <c r="C5" s="5" t="inlineStr">
        <is>
          <t>親が大きくても、子の起動のためにヒープ2倍の空きは要らない。</t>
        </is>
      </c>
      <c r="D5" s="5" t="inlineStr">
        <is>
          <t>jdk.lang.Process.launchMechanism</t>
        </is>
      </c>
    </row>
    <row r="6" ht="38" customHeight="1">
      <c r="A6" s="4" t="inlineStr">
        <is>
          <t>昔のfork</t>
        </is>
      </c>
      <c r="B6" s="4" t="inlineStr">
        <is>
          <t>execの前にアドレス空間の複製が要ることがあった。</t>
        </is>
      </c>
      <c r="C6" s="4" t="inlineStr">
        <is>
          <t>overcommitが厳密だと、起動だけ失敗することがある。</t>
        </is>
      </c>
      <c r="D6" s="4" t="inlineStr">
        <is>
          <t>sysctl vm.overcommit_memory</t>
        </is>
      </c>
    </row>
    <row r="7" ht="38" customHeight="1">
      <c r="A7" s="5" t="inlineStr">
        <is>
          <t>スレッドはタスク</t>
        </is>
      </c>
      <c r="B7" s="5" t="inlineStr">
        <is>
          <t>同じヒープを共有する実行の流れ。ulimit -uはタスク数。</t>
        </is>
      </c>
      <c r="C7" s="5" t="inlineStr">
        <is>
          <t>子10本×各60スレッドで、見込600に親が足される。</t>
        </is>
      </c>
      <c r="D7" s="5" t="inlineStr">
        <is>
          <t>psのNLWP、/proc/PID/limits</t>
        </is>
      </c>
    </row>
    <row r="8" ht="38" customHeight="1">
      <c r="A8" s="4" t="inlineStr">
        <is>
          <t>寝ているスレッド</t>
        </is>
      </c>
      <c r="B8" s="4" t="inlineStr">
        <is>
          <t>状態Sは実行キューに入らない。</t>
        </is>
      </c>
      <c r="C8" s="4" t="inlineStr">
        <is>
          <t>JDBC待ちは机を使わない。本数とCPU使用は一致しない。</t>
        </is>
      </c>
      <c r="D8" s="4" t="inlineStr">
        <is>
          <t>pidstat -t と psのstat</t>
        </is>
      </c>
    </row>
    <row r="9" ht="38" customHeight="1">
      <c r="A9" s="5" t="inlineStr">
        <is>
          <t>仮想スレッド</t>
        </is>
      </c>
      <c r="B9" s="5" t="inlineStr">
        <is>
          <t>JDK 21のキャリアがOSスレッド。待ちの本数はもっと多い。</t>
        </is>
      </c>
      <c r="C9" s="5" t="inlineStr">
        <is>
          <t>NLWPが小さくてもDB接続は多い、があり得る。</t>
        </is>
      </c>
      <c r="D9" s="5" t="inlineStr">
        <is>
          <t>Thread.print</t>
        </is>
      </c>
    </row>
    <row r="10" ht="38" customHeight="1">
      <c r="A10" s="4" t="inlineStr">
        <is>
          <t>ParallelGCThreads</t>
        </is>
      </c>
      <c r="B10" s="4" t="inlineStr">
        <is>
          <t>Nが8以下ならN。それ以外は8+(N-8)×5/8。整数割り算。</t>
        </is>
      </c>
      <c r="C10" s="4" t="inlineStr">
        <is>
          <t>見えるCPUが8なら、1JVMあたり8。11JVM同時で88。</t>
        </is>
      </c>
      <c r="D10" s="4" t="inlineStr">
        <is>
          <t>jcmd VM.flags</t>
        </is>
      </c>
    </row>
    <row r="11" ht="38" customHeight="1">
      <c r="A11" s="5" t="inlineStr">
        <is>
          <t>ConcGCThreads</t>
        </is>
      </c>
      <c r="B11" s="5" t="inlineStr">
        <is>
          <t>(Parallel+2)/4と1の大きいほう。業務と同時に机を使う。</t>
        </is>
      </c>
      <c r="C11" s="5" t="inlineStr">
        <is>
          <t>見本では1JVMあたり2。11本で22。</t>
        </is>
      </c>
      <c r="D11" s="5" t="inlineStr">
        <is>
          <t>jcmd VM.flags</t>
        </is>
      </c>
    </row>
    <row r="12" ht="38" customHeight="1">
      <c r="A12" s="4" t="inlineStr">
        <is>
          <t>JIT</t>
        </is>
      </c>
      <c r="B12" s="4" t="inlineStr">
        <is>
          <t>起動後にC1/C2がコンパイルする。短いバッチでは割合が大きい。</t>
        </is>
      </c>
      <c r="C12" s="4" t="inlineStr">
        <is>
          <t>冷えた10本同時起動は、定常よりCPUが高い。</t>
        </is>
      </c>
      <c r="D12" s="4" t="inlineStr">
        <is>
          <t>GCログと分ける。Thread.printのC2。</t>
        </is>
      </c>
    </row>
    <row r="13" ht="38" customHeight="1">
      <c r="A13" s="5" t="inlineStr">
        <is>
          <t>commonPool</t>
        </is>
      </c>
      <c r="B13" s="5" t="inlineStr">
        <is>
          <t>見えているCPU数から1を引いたワーカー。使ったときだけ存在する。</t>
        </is>
      </c>
      <c r="C13" s="5" t="inlineStr">
        <is>
          <t>8CPUなら子1本で7、子10本で70。</t>
        </is>
      </c>
      <c r="D13" s="5" t="inlineStr">
        <is>
          <t>スレッド名 ForkJoinPool.commonPool</t>
        </is>
      </c>
    </row>
    <row r="14" ht="38" customHeight="1">
      <c r="A14" s="4" t="inlineStr">
        <is>
          <t>パイプ</t>
        </is>
      </c>
      <c r="B14" s="4" t="inlineStr">
        <is>
          <t>親がstdoutを読まずに待っていると、64KiBで子のwriteが止まる。</t>
        </is>
      </c>
      <c r="C14" s="4" t="inlineStr">
        <is>
          <t>CPUが低いのに枠が10のまま空かない。</t>
        </is>
      </c>
      <c r="D14" s="4" t="inlineStr">
        <is>
          <t>ps -o wchan</t>
        </is>
      </c>
    </row>
    <row r="15" ht="38" customHeight="1">
      <c r="A15" s="5" t="inlineStr">
        <is>
          <t>孤児</t>
        </is>
      </c>
      <c r="B15" s="5" t="inlineStr">
        <is>
          <t>親が死ぬとPPIDが1になり、子は生き続けられる。</t>
        </is>
      </c>
      <c r="C15" s="5" t="inlineStr">
        <is>
          <t>停止したあとのRSSの残りの説明になる。</t>
        </is>
      </c>
      <c r="D15" s="5" t="inlineStr">
        <is>
          <t>psのPPID</t>
        </is>
      </c>
    </row>
  </sheetData>
  <autoFilter ref="A3:D15"/>
  <mergeCells count="2">
    <mergeCell ref="A1:D1"/>
    <mergeCell ref="A2:D2"/>
  </mergeCells>
  <printOptions horizontalCentered="1"/>
  <pageMargins left="0.45" right="0.45" top="0.7" bottom="0.55" header="0.26" footer="0.26"/>
  <pageSetup orientation="landscape" paperSize="8" scale="70" fitToHeight="0" fitToWidth="1" horizontalDpi="300" verticalDpi="300"/>
  <headerFooter>
    <oddHeader>&amp;L&amp;"Meiryo UI"&amp;9親子JVMのプロセス・メモリ・vCPU&amp;C&amp;R&amp;"Meiryo UI"&amp;9確認日 2026-10-14</oddHeader>
    <oddFooter>&amp;L&amp;"Meiryo UI"&amp;8見本の数字は仮の値。実測は対象サーバで採取する。&amp;C&amp;"Meiryo UI"&amp;9プロセス&amp;R&amp;"Meiryo UI"&amp;9&amp;P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5C5C5C"/>
    <outlinePr summaryBelow="1" summaryRight="1"/>
    <pageSetUpPr fitToPage="1"/>
  </sheetPr>
  <dimension ref="A1:D21"/>
  <sheetViews>
    <sheetView showGridLines="0" view="normal" zoomScale="100" workbookViewId="0">
      <pane ySplit="3" topLeftCell="A4" activePane="bottomLeft" state="frozen"/>
      <selection pane="bottomLeft" activeCell="A1" sqref="A1"/>
    </sheetView>
  </sheetViews>
  <sheetFormatPr baseColWidth="8" defaultColWidth="3" defaultRowHeight="18"/>
  <cols>
    <col width="24" customWidth="1" min="1" max="1"/>
    <col width="42" customWidth="1" min="2" max="2"/>
    <col width="48" customWidth="1" min="3" max="3"/>
    <col width="40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</cols>
  <sheetData>
    <row r="1" ht="32" customHeight="1">
      <c r="A1" s="6" t="inlineStr">
        <is>
          <t>CPUとvCPU</t>
        </is>
      </c>
      <c r="B1" s="6" t="n"/>
      <c r="C1" s="6" t="n"/>
      <c r="D1" s="6" t="n"/>
    </row>
    <row r="2" ht="36" customHeight="1">
      <c r="A2" s="7" t="inlineStr">
        <is>
          <t>机は2段ある。ハイパーバイザが物理コアへvCPUを載せ、LinuxのCFSがスレッドへvCPUを載せる。</t>
        </is>
      </c>
      <c r="B2" s="7" t="n"/>
      <c r="C2" s="7" t="n"/>
      <c r="D2" s="7" t="n"/>
    </row>
    <row r="3" ht="70" customHeight="1">
      <c r="A3" s="3" t="inlineStr">
        <is>
          <t>項目</t>
        </is>
      </c>
      <c r="B3" s="3" t="inlineStr">
        <is>
          <t>意味</t>
        </is>
      </c>
      <c r="C3" s="3" t="inlineStr">
        <is>
          <t>親子JVMでの読み方</t>
        </is>
      </c>
      <c r="D3" s="3" t="inlineStr">
        <is>
          <t>見る列</t>
        </is>
      </c>
    </row>
    <row r="4" ht="22" customHeight="1">
      <c r="A4" s="4" t="inlineStr">
        <is>
          <t>vCPU</t>
        </is>
      </c>
      <c r="B4" s="4" t="inlineStr">
        <is>
          <t>ゲストから見えるCPU。</t>
        </is>
      </c>
      <c r="C4" s="4" t="inlineStr">
        <is>
          <t>子を10本にしてもこの数は増えない。</t>
        </is>
      </c>
      <c r="D4" s="4" t="inlineStr">
        <is>
          <t>lscpuのCPU(s)</t>
        </is>
      </c>
    </row>
    <row r="5" ht="38" customHeight="1">
      <c r="A5" s="5" t="inlineStr">
        <is>
          <t>Thread(s) per core</t>
        </is>
      </c>
      <c r="B5" s="5" t="inlineStr">
        <is>
          <t>1ならコアそのもの。2ならハイパースレッド。</t>
        </is>
      </c>
      <c r="C5" s="5" t="inlineStr">
        <is>
          <t>GC人数の分母は、見える論理CPU。</t>
        </is>
      </c>
      <c r="D5" s="5" t="inlineStr">
        <is>
          <t>lscpu</t>
        </is>
      </c>
    </row>
    <row r="6" ht="38" customHeight="1">
      <c r="A6" s="4" t="inlineStr">
        <is>
          <t>NUMA</t>
        </is>
      </c>
      <c r="B6" s="4" t="inlineStr">
        <is>
          <t>メモリが複数の置き場に分かれる大きいサイズ。</t>
        </is>
      </c>
      <c r="C6" s="4" t="inlineStr">
        <is>
          <t>ノードが2つ以上なら、CPUだけでなく置き場も記録する。</t>
        </is>
      </c>
      <c r="D6" s="4" t="inlineStr">
        <is>
          <t>numactl --hardware</t>
        </is>
      </c>
    </row>
    <row r="7" ht="38" customHeight="1">
      <c r="A7" s="5" t="inlineStr">
        <is>
          <t>マシンCPU 100%</t>
        </is>
      </c>
      <c r="B7" s="5" t="inlineStr">
        <is>
          <t>見えているvCPUが全部忙しい。</t>
        </is>
      </c>
      <c r="C7" s="5" t="inlineStr">
        <is>
          <t>8 vCPUが全部忙しいと約100%。</t>
        </is>
      </c>
      <c r="D7" s="5" t="inlineStr">
        <is>
          <t>sarのall、CloudWatch CPUUtilization</t>
        </is>
      </c>
    </row>
    <row r="8" ht="38" customHeight="1">
      <c r="A8" s="4" t="inlineStr">
        <is>
          <t>プロセス%CPU</t>
        </is>
      </c>
      <c r="B8" s="4" t="inlineStr">
        <is>
          <t>1 vCPU専有で100%。4 vCPU分で400%。</t>
        </is>
      </c>
      <c r="C8" s="4" t="inlineStr">
        <is>
          <t>子の行が100を超えるのは、複数コアを使った印。</t>
        </is>
      </c>
      <c r="D8" s="4" t="inlineStr">
        <is>
          <t>pidstat。psの%CPUは生涯平均なので使わない。</t>
        </is>
      </c>
    </row>
    <row r="9" ht="38" customHeight="1">
      <c r="A9" s="5" t="inlineStr">
        <is>
          <t>ロードアベレージ</t>
        </is>
      </c>
      <c r="B9" s="5" t="inlineStr">
        <is>
          <t>実行したいタスクと割り込み不能タスクの指数平均。</t>
        </is>
      </c>
      <c r="C9" s="5" t="inlineStr">
        <is>
          <t>8 vCPUで16なら、机の2倍が列にいる、という読み方。</t>
        </is>
      </c>
      <c r="D9" s="5" t="inlineStr">
        <is>
          <t>sar -qのldavg-1/5/15</t>
        </is>
      </c>
    </row>
    <row r="10" ht="38" customHeight="1">
      <c r="A10" s="4" t="inlineStr">
        <is>
          <t>%user</t>
        </is>
      </c>
      <c r="B10" s="4" t="inlineStr">
        <is>
          <t>ユーザモード。業務、JIT、GCの大部分。</t>
        </is>
      </c>
      <c r="C10" s="4" t="inlineStr">
        <is>
          <t>GCと業務はsarだけでは分離できない。</t>
        </is>
      </c>
      <c r="D10" s="4" t="inlineStr">
        <is>
          <t>sar -u と GCログ</t>
        </is>
      </c>
    </row>
    <row r="11" ht="38" customHeight="1">
      <c r="A11" s="5" t="inlineStr">
        <is>
          <t>%system</t>
        </is>
      </c>
      <c r="B11" s="5" t="inlineStr">
        <is>
          <t>カーネル。切替、メモリ操作、I/Oの開始。</t>
        </is>
      </c>
      <c r="C11" s="5" t="inlineStr">
        <is>
          <t>強制切替が多いと上がることがある。</t>
        </is>
      </c>
      <c r="D11" s="5" t="inlineStr">
        <is>
          <t>sar -u と pidstat -w</t>
        </is>
      </c>
    </row>
    <row r="12" ht="38" customHeight="1">
      <c r="A12" s="4" t="inlineStr">
        <is>
          <t>%iowait</t>
        </is>
      </c>
      <c r="B12" s="4" t="inlineStr">
        <is>
          <t>CPUは空いていて、ディスクI/Oが未完了。</t>
        </is>
      </c>
      <c r="C12" s="4" t="inlineStr">
        <is>
          <t>vCPUが多いと百分率は小さく見えやすい。</t>
        </is>
      </c>
      <c r="D12" s="4" t="inlineStr">
        <is>
          <t>awaitとセット</t>
        </is>
      </c>
    </row>
    <row r="13" ht="38" customHeight="1">
      <c r="A13" s="5" t="inlineStr">
        <is>
          <t>%steal</t>
        </is>
      </c>
      <c r="B13" s="5" t="inlineStr">
        <is>
          <t>ハイパーバイザがvCPUを渡していなかった時間。</t>
        </is>
      </c>
      <c r="C13" s="5" t="inlineStr">
        <is>
          <t>T系のクレジット枯渇や、ホスト側の混雑。</t>
        </is>
      </c>
      <c r="D13" s="5" t="inlineStr">
        <is>
          <t>sar -u ALL</t>
        </is>
      </c>
    </row>
    <row r="14" ht="22" customHeight="1">
      <c r="A14" s="4" t="inlineStr">
        <is>
          <t>%idle</t>
        </is>
      </c>
      <c r="B14" s="4" t="inlineStr">
        <is>
          <t>上記のどれでもない空き。</t>
        </is>
      </c>
      <c r="C14" s="4" t="inlineStr">
        <is>
          <t>DB待ちはここが大きい。</t>
        </is>
      </c>
      <c r="D14" s="4" t="inlineStr">
        <is>
          <t>sar -u と sar -n DEV</t>
        </is>
      </c>
    </row>
    <row r="15" ht="38" customHeight="1">
      <c r="A15" s="5" t="inlineStr">
        <is>
          <t>%soft</t>
        </is>
      </c>
      <c r="B15" s="5" t="inlineStr">
        <is>
          <t>ソフト割り込み。受信処理が多いと上がる。</t>
        </is>
      </c>
      <c r="C15" s="5" t="inlineStr">
        <is>
          <t>帯域とセットで見る。</t>
        </is>
      </c>
      <c r="D15" s="5" t="inlineStr">
        <is>
          <t>sar -u ALL</t>
        </is>
      </c>
    </row>
    <row r="16" ht="38" customHeight="1">
      <c r="A16" s="4" t="inlineStr">
        <is>
          <t>%guest</t>
        </is>
      </c>
      <c r="B16" s="4" t="inlineStr">
        <is>
          <t>このマシンがさらにVMを動かしている時間。</t>
        </is>
      </c>
      <c r="C16" s="4" t="inlineStr">
        <is>
          <t>EC2の中ではほぼ0が正常。</t>
        </is>
      </c>
      <c r="D16" s="4" t="inlineStr">
        <is>
          <t>sar -u ALL</t>
        </is>
      </c>
    </row>
    <row r="17" ht="38" customHeight="1">
      <c r="A17" s="5" t="inlineStr">
        <is>
          <t>runq-sz</t>
        </is>
      </c>
      <c r="B17" s="5" t="inlineStr">
        <is>
          <t>いま実行を待っているタスク数。</t>
        </is>
      </c>
      <c r="C17" s="5" t="inlineStr">
        <is>
          <t>vCPUより大きい状態が続くと、計算したい人が余っている。</t>
        </is>
      </c>
      <c r="D17" s="5" t="inlineStr">
        <is>
          <t>sar -q</t>
        </is>
      </c>
    </row>
    <row r="18" ht="22" customHeight="1">
      <c r="A18" s="4" t="inlineStr">
        <is>
          <t>blocked</t>
        </is>
      </c>
      <c r="B18" s="4" t="inlineStr">
        <is>
          <t>割り込み不能で止まっている数。</t>
        </is>
      </c>
      <c r="C18" s="4" t="inlineStr">
        <is>
          <t>本体がblockedなら、待ちはディスク側。</t>
        </is>
      </c>
      <c r="D18" s="4" t="inlineStr">
        <is>
          <t>sar -q ALL</t>
        </is>
      </c>
    </row>
    <row r="19" ht="38" customHeight="1">
      <c r="A19" s="5" t="inlineStr">
        <is>
          <t>nvcswch/s</t>
        </is>
      </c>
      <c r="B19" s="5" t="inlineStr">
        <is>
          <t>タイムスライスでCPUを取り上げられた回数。</t>
        </is>
      </c>
      <c r="C19" s="5" t="inlineStr">
        <is>
          <t>10本のGCが重なると、この強制側が増える。</t>
        </is>
      </c>
      <c r="D19" s="5" t="inlineStr">
        <is>
          <t>pidstat -w</t>
        </is>
      </c>
    </row>
    <row r="20" ht="38" customHeight="1">
      <c r="A20" s="4" t="inlineStr">
        <is>
          <t>cswch/s</t>
        </is>
      </c>
      <c r="B20" s="4" t="inlineStr">
        <is>
          <t>自分からCPUを手放した回数。睡眠やI/O。</t>
        </is>
      </c>
      <c r="C20" s="4" t="inlineStr">
        <is>
          <t>DB待ちが多いと自発側が増え、CPUは空く。</t>
        </is>
      </c>
      <c r="D20" s="4" t="inlineStr">
        <is>
          <t>pidstat -w</t>
        </is>
      </c>
    </row>
    <row r="21" ht="22" customHeight="1">
      <c r="A21" s="5" t="inlineStr">
        <is>
          <t>ベースライン</t>
        </is>
      </c>
      <c r="B21" s="5" t="inlineStr">
        <is>
          <t>子を起動する前の60秒。</t>
        </is>
      </c>
      <c r="C21" s="5" t="inlineStr">
        <is>
          <t>ピークから引いた分が、子10本の増分。</t>
        </is>
      </c>
      <c r="D21" s="5" t="inlineStr">
        <is>
          <t>写真Aと写真C</t>
        </is>
      </c>
    </row>
  </sheetData>
  <autoFilter ref="A3:D21"/>
  <mergeCells count="2">
    <mergeCell ref="A1:D1"/>
    <mergeCell ref="A2:D2"/>
  </mergeCells>
  <printOptions horizontalCentered="1"/>
  <pageMargins left="0.45" right="0.45" top="0.7" bottom="0.55" header="0.26" footer="0.26"/>
  <pageSetup orientation="landscape" paperSize="8" scale="70" fitToHeight="0" fitToWidth="1" horizontalDpi="300" verticalDpi="300"/>
  <headerFooter>
    <oddHeader>&amp;L&amp;"Meiryo UI"&amp;9親子JVMのプロセス・メモリ・vCPU&amp;C&amp;R&amp;"Meiryo UI"&amp;9確認日 2026-10-14</oddHeader>
    <oddFooter>&amp;L&amp;"Meiryo UI"&amp;8見本の数字は仮の値。実測は対象サーバで採取する。&amp;C&amp;"Meiryo UI"&amp;9CPUとvCPU&amp;R&amp;"Meiryo UI"&amp;9&amp;P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5C5C5C"/>
    <outlinePr summaryBelow="1" summaryRight="1"/>
    <pageSetUpPr fitToPage="1"/>
  </sheetPr>
  <dimension ref="A1:D23"/>
  <sheetViews>
    <sheetView showGridLines="0" view="normal" zoomScale="100" workbookViewId="0">
      <pane ySplit="3" topLeftCell="A4" activePane="bottomLeft" state="frozen"/>
      <selection pane="bottomLeft" activeCell="A1" sqref="A1"/>
    </sheetView>
  </sheetViews>
  <sheetFormatPr baseColWidth="8" defaultColWidth="3" defaultRowHeight="18"/>
  <cols>
    <col width="24" customWidth="1" min="1" max="1"/>
    <col width="46" customWidth="1" min="2" max="2"/>
    <col width="46" customWidth="1" min="3" max="3"/>
    <col width="40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</cols>
  <sheetData>
    <row r="1" ht="32" customHeight="1">
      <c r="A1" s="6" t="inlineStr">
        <is>
          <t>メモリ</t>
        </is>
      </c>
      <c r="B1" s="6" t="n"/>
      <c r="C1" s="6" t="n"/>
      <c r="D1" s="6" t="n"/>
    </row>
    <row r="2" ht="36" customHeight="1">
      <c r="A2" s="7" t="inlineStr">
        <is>
          <t>予約、居住、共有、RHEL 9でのfreeとsarの式の違い。空きの判定に使うのはkbavail。</t>
        </is>
      </c>
      <c r="B2" s="7" t="n"/>
      <c r="C2" s="7" t="n"/>
      <c r="D2" s="7" t="n"/>
    </row>
    <row r="3" ht="70" customHeight="1">
      <c r="A3" s="3" t="inlineStr">
        <is>
          <t>項目</t>
        </is>
      </c>
      <c r="B3" s="3" t="inlineStr">
        <is>
          <t>数えているもの</t>
        </is>
      </c>
      <c r="C3" s="3" t="inlineStr">
        <is>
          <t>読み方</t>
        </is>
      </c>
      <c r="D3" s="3" t="inlineStr">
        <is>
          <t>注意</t>
        </is>
      </c>
    </row>
    <row r="4" ht="38" customHeight="1">
      <c r="A4" s="4" t="inlineStr">
        <is>
          <t>VSZ</t>
        </is>
      </c>
      <c r="B4" s="4" t="inlineStr">
        <is>
          <t>予約した仮想アドレス。</t>
        </is>
      </c>
      <c r="C4" s="4" t="inlineStr">
        <is>
          <t>子の起動直後に-Xmx付近まで跳ねる。</t>
        </is>
      </c>
      <c r="D4" s="4" t="inlineStr">
        <is>
          <t>実メモリの使用量そのものではない。</t>
        </is>
      </c>
    </row>
    <row r="5" ht="38" customHeight="1">
      <c r="A5" s="5" t="inlineStr">
        <is>
          <t>RSS</t>
        </is>
      </c>
      <c r="B5" s="5" t="inlineStr">
        <is>
          <t>実メモリに載っているマップ。共有ページも全量入る。</t>
        </is>
      </c>
      <c r="C5" s="5" t="inlineStr">
        <is>
          <t>プロセス単体の居住量。</t>
        </is>
      </c>
      <c r="D5" s="5" t="inlineStr">
        <is>
          <t>11本の合計は教科書の分だけ過大。</t>
        </is>
      </c>
    </row>
    <row r="6" ht="38" customHeight="1">
      <c r="A6" s="4" t="inlineStr">
        <is>
          <t>PSS</t>
        </is>
      </c>
      <c r="B6" s="4" t="inlineStr">
        <is>
          <t>共有ページを共有者数で割った居住量。</t>
        </is>
      </c>
      <c r="C6" s="4" t="inlineStr">
        <is>
          <t>JVM合計に近い。</t>
        </is>
      </c>
      <c r="D6" s="4" t="inlineStr">
        <is>
          <t>smaps_rollup。毎秒は取らない。</t>
        </is>
      </c>
    </row>
    <row r="7" ht="38" customHeight="1">
      <c r="A7" s="5" t="inlineStr">
        <is>
          <t>Private_Dirty</t>
        </is>
      </c>
      <c r="B7" s="5" t="inlineStr">
        <is>
          <t>そのプロセスだけが汚したページ。</t>
        </is>
      </c>
      <c r="C7" s="5" t="inlineStr">
        <is>
          <t>終了すると戻る量に近い。</t>
        </is>
      </c>
      <c r="D7" s="5" t="inlineStr">
        <is>
          <t>ヒープ、スタック、ネイティブの多く。</t>
        </is>
      </c>
    </row>
    <row r="8" ht="38" customHeight="1">
      <c r="A8" s="4" t="inlineStr">
        <is>
          <t>AnonPages / kbanonpg</t>
        </is>
      </c>
      <c r="B8" s="4" t="inlineStr">
        <is>
          <t>ファイルに紐づかない匿名ページ。</t>
        </is>
      </c>
      <c r="C8" s="4" t="inlineStr">
        <is>
          <t>子の起動で増え、終了で戻る。</t>
        </is>
      </c>
      <c r="D8" s="4" t="inlineStr">
        <is>
          <t>写真AとCとDを比べる。</t>
        </is>
      </c>
    </row>
    <row r="9" ht="38" customHeight="1">
      <c r="A9" s="5" t="inlineStr">
        <is>
          <t>kbavail / MemAvailable</t>
        </is>
      </c>
      <c r="B9" s="5" t="inlineStr">
        <is>
          <t>スワップせずに新しいアプリを始められる見込み。</t>
        </is>
      </c>
      <c r="C9" s="5" t="inlineStr">
        <is>
          <t>ロッカーの余りとして使う。</t>
        </is>
      </c>
      <c r="D9" s="5" t="inlineStr">
        <is>
          <t>freeのavailableと同じ系統。</t>
        </is>
      </c>
    </row>
    <row r="10" ht="38" customHeight="1">
      <c r="A10" s="4" t="inlineStr">
        <is>
          <t>kbcached</t>
        </is>
      </c>
      <c r="B10" s="4" t="inlineStr">
        <is>
          <t>ファイルキャッシュ。Cached。</t>
        </is>
      </c>
      <c r="C10" s="4" t="inlineStr">
        <is>
          <t>JARや.soや入力ファイル。回収できる。</t>
        </is>
      </c>
      <c r="D10" s="4" t="inlineStr">
        <is>
          <t>sarのkbcachedはSReclaimableを含まない。</t>
        </is>
      </c>
    </row>
    <row r="11" ht="38" customHeight="1">
      <c r="A11" s="5" t="inlineStr">
        <is>
          <t>kbmemused</t>
        </is>
      </c>
      <c r="B11" s="5" t="inlineStr">
        <is>
          <t>Total−Free−Buffers−Cached−Slab。</t>
        </is>
      </c>
      <c r="C11" s="5" t="inlineStr">
        <is>
          <t>RHEL 9のsarの使用中。</t>
        </is>
      </c>
      <c r="D11" s="5" t="inlineStr">
        <is>
          <t>RHEL 8のTotal−Freeではない。</t>
        </is>
      </c>
    </row>
    <row r="12" ht="38" customHeight="1">
      <c r="A12" s="4" t="inlineStr">
        <is>
          <t>freeのused</t>
        </is>
      </c>
      <c r="B12" s="4" t="inlineStr">
        <is>
          <t>RHEL 9.1以降はTotal−MemAvailable。</t>
        </is>
      </c>
      <c r="C12" s="4" t="inlineStr">
        <is>
          <t>sarのkbmemusedと同じ瞬間でも数字が違う。</t>
        </is>
      </c>
      <c r="D12" s="4" t="inlineStr">
        <is>
          <t>列名を報告書に書く。</t>
        </is>
      </c>
    </row>
    <row r="13" ht="54" customHeight="1">
      <c r="A13" s="5" t="inlineStr">
        <is>
          <t>仮の式</t>
        </is>
      </c>
      <c r="B13" s="5" t="inlineStr">
        <is>
          <t>Total 16000000、Free 1000000、Buffers 100000、Cached 4000000、Slab 700000。</t>
        </is>
      </c>
      <c r="C13" s="5" t="inlineStr">
        <is>
          <t>kbmemusedは10200000で63.75%。</t>
        </is>
      </c>
      <c r="D13" s="5" t="inlineStr">
        <is>
          <t>古い式だと15000000で94%に見える。</t>
        </is>
      </c>
    </row>
    <row r="14" ht="22" customHeight="1">
      <c r="A14" s="4" t="inlineStr">
        <is>
          <t>仮のavailable</t>
        </is>
      </c>
      <c r="B14" s="4" t="inlineStr">
        <is>
          <t>MemAvailableを5200000とした例。</t>
        </is>
      </c>
      <c r="C14" s="4" t="inlineStr">
        <is>
          <t>freeのusedは10800000。</t>
        </is>
      </c>
      <c r="D14" s="4" t="inlineStr">
        <is>
          <t>availableが5.2GBある。</t>
        </is>
      </c>
    </row>
    <row r="15" ht="38" customHeight="1">
      <c r="A15" s="5" t="inlineStr">
        <is>
          <t>-Xmx無し</t>
        </is>
      </c>
      <c r="B15" s="5" t="inlineStr">
        <is>
          <t>MaxRAMPercentageの既定25。見えているメモリの約4分の1。</t>
        </is>
      </c>
      <c r="C15" s="5" t="inlineStr">
        <is>
          <t>子10本が各自4分の1を上限にすると、合計は物理メモリを超える。</t>
        </is>
      </c>
      <c r="D15" s="5" t="inlineStr">
        <is>
          <t>各PIDのMaxHeapSizeを残す。</t>
        </is>
      </c>
    </row>
    <row r="16" ht="38" customHeight="1">
      <c r="A16" s="4" t="inlineStr">
        <is>
          <t>圧縮OOP</t>
        </is>
      </c>
      <c r="B16" s="4" t="inlineStr">
        <is>
          <t>ヒープがおおよそ32GiB未満で有効になる既定。</t>
        </is>
      </c>
      <c r="C16" s="4" t="inlineStr">
        <is>
          <t>境界はJVMごと。マシン合計ではない。</t>
        </is>
      </c>
      <c r="D16" s="4" t="inlineStr">
        <is>
          <t>UseCompressedOopsの実効値。</t>
        </is>
      </c>
    </row>
    <row r="17" ht="38" customHeight="1">
      <c r="A17" s="5" t="inlineStr">
        <is>
          <t>メタスペース</t>
        </is>
      </c>
      <c r="B17" s="5" t="inlineStr">
        <is>
          <t>クラス定義。子は終了で返る。親は残る。</t>
        </is>
      </c>
      <c r="C17" s="5" t="inlineStr">
        <is>
          <t>写真AとDで親のClassを比べる。</t>
        </is>
      </c>
      <c r="D17" s="5" t="inlineStr">
        <is>
          <t>NMT。</t>
        </is>
      </c>
    </row>
    <row r="18" ht="38" customHeight="1">
      <c r="A18" s="4" t="inlineStr">
        <is>
          <t>コードキャッシュ</t>
        </is>
      </c>
      <c r="B18" s="4" t="inlineStr">
        <is>
          <t>予約は240MiB前後。実使用はその一部。</t>
        </is>
      </c>
      <c r="C18" s="4" t="inlineStr">
        <is>
          <t>短命な子は予約が大きくコミットが小さい。</t>
        </is>
      </c>
      <c r="D18" s="4" t="inlineStr">
        <is>
          <t>VSZとRSSの差の一部。</t>
        </is>
      </c>
    </row>
    <row r="19" ht="22" customHeight="1">
      <c r="A19" s="5" t="inlineStr">
        <is>
          <t>スタック</t>
        </is>
      </c>
      <c r="B19" s="5" t="inlineStr">
        <is>
          <t>既定はおおよそ1MiB×スレッド。</t>
        </is>
      </c>
      <c r="C19" s="5" t="inlineStr">
        <is>
          <t>本数×JVM数。</t>
        </is>
      </c>
      <c r="D19" s="5" t="inlineStr">
        <is>
          <t>-XssとNLWP。</t>
        </is>
      </c>
    </row>
    <row r="20" ht="38" customHeight="1">
      <c r="A20" s="4" t="inlineStr">
        <is>
          <t>ダイレクトバッファ</t>
        </is>
      </c>
      <c r="B20" s="4" t="inlineStr">
        <is>
          <t>未指定の上限はヒープ最大付近。</t>
        </is>
      </c>
      <c r="C20" s="4" t="inlineStr">
        <is>
          <t>使った分だけRSSが増え、ヒープ使用率は低く見える。</t>
        </is>
      </c>
      <c r="D20" s="4" t="inlineStr">
        <is>
          <t>MaxDirectMemorySize。</t>
        </is>
      </c>
    </row>
    <row r="21" ht="38" customHeight="1">
      <c r="A21" s="5" t="inlineStr">
        <is>
          <t>スワップ</t>
        </is>
      </c>
      <c r="B21" s="5" t="inlineStr">
        <is>
          <t>pswpin/sが業務中に続く状態。</t>
        </is>
      </c>
      <c r="C21" s="5" t="inlineStr">
        <is>
          <t>GCがディスク上のページに触れている。</t>
        </is>
      </c>
      <c r="D21" s="5" t="inlineStr">
        <is>
          <t>sar -W。スワップが無ければOOM側。</t>
        </is>
      </c>
    </row>
    <row r="22" ht="54" customHeight="1">
      <c r="A22" s="4" t="inlineStr">
        <is>
          <t>THP</t>
        </is>
      </c>
      <c r="B22" s="4" t="inlineStr">
        <is>
          <t>enabledの中身がalwaysかmadviseかneverか。</t>
        </is>
      </c>
      <c r="C22" s="4" t="inlineStr">
        <is>
          <t>alwaysは停止とRSSに効いた歴史がある。既定のJVMは巨大ページを要求しない。</t>
        </is>
      </c>
      <c r="D22" s="4" t="inlineStr">
        <is>
          <t>transparent_hugepage/enabled</t>
        </is>
      </c>
    </row>
    <row r="23" ht="38" customHeight="1">
      <c r="A23" s="5" t="inlineStr">
        <is>
          <t>kbpgtbl</t>
        </is>
      </c>
      <c r="B23" s="5" t="inlineStr">
        <is>
          <t>ページテーブル。</t>
        </is>
      </c>
      <c r="C23" s="5" t="inlineStr">
        <is>
          <t>大きいヒープが10本あると-Xmxの外で増える。</t>
        </is>
      </c>
      <c r="D23" s="5" t="inlineStr">
        <is>
          <t>sar -r ALL</t>
        </is>
      </c>
    </row>
  </sheetData>
  <autoFilter ref="A3:D23"/>
  <mergeCells count="2">
    <mergeCell ref="A1:D1"/>
    <mergeCell ref="A2:D2"/>
  </mergeCells>
  <printOptions horizontalCentered="1"/>
  <pageMargins left="0.45" right="0.45" top="0.7" bottom="0.55" header="0.26" footer="0.26"/>
  <pageSetup orientation="landscape" paperSize="8" scale="70" fitToHeight="0" fitToWidth="1" horizontalDpi="300" verticalDpi="300"/>
  <headerFooter>
    <oddHeader>&amp;L&amp;"Meiryo UI"&amp;9親子JVMのプロセス・メモリ・vCPU&amp;C&amp;R&amp;"Meiryo UI"&amp;9確認日 2026-10-14</oddHeader>
    <oddFooter>&amp;L&amp;"Meiryo UI"&amp;8見本の数字は仮の値。実測は対象サーバで採取する。&amp;C&amp;"Meiryo UI"&amp;9メモリ&amp;R&amp;"Meiryo UI"&amp;9&amp;P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5C5C5C"/>
    <outlinePr summaryBelow="1" summaryRight="1"/>
    <pageSetUpPr fitToPage="1"/>
  </sheetPr>
  <dimension ref="A1:D15"/>
  <sheetViews>
    <sheetView showGridLines="0" view="normal" zoomScale="100" workbookViewId="0">
      <pane ySplit="3" topLeftCell="A4" activePane="bottomLeft" state="frozen"/>
      <selection pane="bottomLeft" activeCell="A1" sqref="A1"/>
    </sheetView>
  </sheetViews>
  <sheetFormatPr baseColWidth="8" defaultColWidth="3" defaultRowHeight="18"/>
  <cols>
    <col width="36" customWidth="1" min="1" max="1"/>
    <col width="40" customWidth="1" min="2" max="2"/>
    <col width="46" customWidth="1" min="3" max="3"/>
    <col width="36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</cols>
  <sheetData>
    <row r="1" ht="32" customHeight="1">
      <c r="A1" s="6" t="inlineStr">
        <is>
          <t>近所と外部</t>
        </is>
      </c>
      <c r="B1" s="6" t="n"/>
      <c r="C1" s="6" t="n"/>
      <c r="D1" s="6" t="n"/>
    </row>
    <row r="2" ht="36" customHeight="1">
      <c r="A2" s="7" t="inlineStr">
        <is>
          <t>同じ机、同じロッカー、同じEBS、同じNICを使う相手。DBの待ちは教室の外にいる。</t>
        </is>
      </c>
      <c r="B2" s="7" t="n"/>
      <c r="C2" s="7" t="n"/>
      <c r="D2" s="7" t="n"/>
    </row>
    <row r="3" ht="70" customHeight="1">
      <c r="A3" s="3" t="inlineStr">
        <is>
          <t>相手</t>
        </is>
      </c>
      <c r="B3" s="3" t="inlineStr">
        <is>
          <t>何を共有するか</t>
        </is>
      </c>
      <c r="C3" s="3" t="inlineStr">
        <is>
          <t>性能試験での出方</t>
        </is>
      </c>
      <c r="D3" s="3" t="inlineStr">
        <is>
          <t>残すもの</t>
        </is>
      </c>
    </row>
    <row r="4" ht="38" customHeight="1">
      <c r="A4" s="4" t="inlineStr">
        <is>
          <t>systemd / journald / rsyslog</t>
        </is>
      </c>
      <c r="B4" s="4" t="inlineStr">
        <is>
          <t>CPUの少しと、ログのディスク。</t>
        </is>
      </c>
      <c r="C4" s="4" t="inlineStr">
        <is>
          <t>平常時は小さい。logrotateで短時間の山。</t>
        </is>
      </c>
      <c r="D4" s="4" t="inlineStr">
        <is>
          <t>写真Aのpidstat。</t>
        </is>
      </c>
    </row>
    <row r="5" ht="38" customHeight="1">
      <c r="A5" s="5" t="inlineStr">
        <is>
          <t>sshd / chronyd / auditd / tuned</t>
        </is>
      </c>
      <c r="B5" s="5" t="inlineStr">
        <is>
          <t>CPUの少しとメモリ。</t>
        </is>
      </c>
      <c r="C5" s="5" t="inlineStr">
        <is>
          <t>audit拒否はCPUに出ず、子が即終了する。</t>
        </is>
      </c>
      <c r="D5" s="5" t="inlineStr">
        <is>
          <t>timedatectl、audit.log。</t>
        </is>
      </c>
    </row>
    <row r="6" ht="38" customHeight="1">
      <c r="A6" s="4" t="inlineStr">
        <is>
          <t>amazon-ssm-agent と監視エージェント</t>
        </is>
      </c>
      <c r="B6" s="4" t="inlineStr">
        <is>
          <t>CPUとネットワークとディスク。</t>
        </is>
      </c>
      <c r="C6" s="4" t="inlineStr">
        <is>
          <t>試験の最中のRun Commandは山に混ざる。</t>
        </is>
      </c>
      <c r="D6" s="4" t="inlineStr">
        <is>
          <t>試験中にSSM作業をしないこと。</t>
        </is>
      </c>
    </row>
    <row r="7" ht="38" customHeight="1">
      <c r="A7" s="5" t="inlineStr">
        <is>
          <t>sar / sadc 自身</t>
        </is>
      </c>
      <c r="B7" s="5" t="inlineStr">
        <is>
          <t>ごく小さいCPUと、出力ファイルの書き込み。</t>
        </is>
      </c>
      <c r="C7" s="5" t="inlineStr">
        <is>
          <t>1秒採取を何本も重ねると、自分の測定が乗る。</t>
        </is>
      </c>
      <c r="D7" s="5" t="inlineStr">
        <is>
          <t>採取コマンドの本数。</t>
        </is>
      </c>
    </row>
    <row r="8" ht="38" customHeight="1">
      <c r="A8" s="4" t="inlineStr">
        <is>
          <t>カーネルのスラブとページテーブル</t>
        </is>
      </c>
      <c r="B8" s="4" t="inlineStr">
        <is>
          <t>物理メモリ。</t>
        </is>
      </c>
      <c r="C8" s="4" t="inlineStr">
        <is>
          <t>kbslab、kbpgtbl、kbkstack。</t>
        </is>
      </c>
      <c r="D8" s="4" t="inlineStr">
        <is>
          <t>sar -r ALL。</t>
        </is>
      </c>
    </row>
    <row r="9" ht="38" customHeight="1">
      <c r="A9" s="5" t="inlineStr">
        <is>
          <t>EBS</t>
        </is>
      </c>
      <c r="B9" s="5" t="inlineStr">
        <is>
          <t>IOPSとスループットの上限。</t>
        </is>
      </c>
      <c r="C9" s="5" t="inlineStr">
        <is>
          <t>awaitが伸び、idleが増え、経過時間が伸びる。</t>
        </is>
      </c>
      <c r="D9" s="5" t="inlineStr">
        <is>
          <t>ボリュームタイプとプロビジョン値。</t>
        </is>
      </c>
    </row>
    <row r="10" ht="38" customHeight="1">
      <c r="A10" s="4" t="inlineStr">
        <is>
          <t>NIC</t>
        </is>
      </c>
      <c r="B10" s="4" t="inlineStr">
        <is>
          <t>帯域と、サイズによってはネットワーククレジット。</t>
        </is>
      </c>
      <c r="C10" s="4" t="inlineStr">
        <is>
          <t>%softとrxkB/s、txkB/s。</t>
        </is>
      </c>
      <c r="D10" s="4" t="inlineStr">
        <is>
          <t>インスタンスタイプのネットワーク仕様。</t>
        </is>
      </c>
    </row>
    <row r="11" ht="38" customHeight="1">
      <c r="A11" s="5" t="inlineStr">
        <is>
          <t>DB</t>
        </is>
      </c>
      <c r="B11" s="5" t="inlineStr">
        <is>
          <t>接続数は子のプール×本数。待ちは相手側。</t>
        </is>
      </c>
      <c r="C11" s="5" t="inlineStr">
        <is>
          <t>idleが高く、帯域が細く、経過時間だけ長い。</t>
        </is>
      </c>
      <c r="D11" s="5" t="inlineStr">
        <is>
          <t>プールサイズと相手の測定。</t>
        </is>
      </c>
    </row>
    <row r="12" ht="38" customHeight="1">
      <c r="A12" s="4" t="inlineStr">
        <is>
          <t>OOM Killer</t>
        </is>
      </c>
      <c r="B12" s="4" t="inlineStr">
        <is>
          <t>物理メモリが尽きたときの終了。</t>
        </is>
      </c>
      <c r="C12" s="4" t="inlineStr">
        <is>
          <t>大きい子が消え、親が残ることがある。</t>
        </is>
      </c>
      <c r="D12" s="4" t="inlineStr">
        <is>
          <t>dmesgのKilled process。</t>
        </is>
      </c>
    </row>
    <row r="13" ht="22" customHeight="1">
      <c r="A13" s="5" t="inlineStr">
        <is>
          <t>SELinux</t>
        </is>
      </c>
      <c r="B13" s="5" t="inlineStr">
        <is>
          <t>execの許可。</t>
        </is>
      </c>
      <c r="C13" s="5" t="inlineStr">
        <is>
          <t>性能グラフの前に子が死ぬ。</t>
        </is>
      </c>
      <c r="D13" s="5" t="inlineStr">
        <is>
          <t>audit.log。</t>
        </is>
      </c>
    </row>
    <row r="14" ht="22" customHeight="1">
      <c r="A14" s="4" t="inlineStr">
        <is>
          <t>ファイルディスクリプタ上限</t>
        </is>
      </c>
      <c r="B14" s="4" t="inlineStr">
        <is>
          <t>親から子へ受け継ぐ。</t>
        </is>
      </c>
      <c r="C14" s="4" t="inlineStr">
        <is>
          <t>Too many open files。</t>
        </is>
      </c>
      <c r="D14" s="4" t="inlineStr">
        <is>
          <t>/proc/PID/limits。</t>
        </is>
      </c>
    </row>
    <row r="15" ht="22" customHeight="1">
      <c r="A15" s="5" t="inlineStr">
        <is>
          <t>スレッド数上限</t>
        </is>
      </c>
      <c r="B15" s="5" t="inlineStr">
        <is>
          <t>タスク数。ヒープとは別。</t>
        </is>
      </c>
      <c r="C15" s="5" t="inlineStr">
        <is>
          <t>unable to create native thread。</t>
        </is>
      </c>
      <c r="D15" s="5" t="inlineStr">
        <is>
          <t>NLWP、pids.max、ulimit -u。</t>
        </is>
      </c>
    </row>
  </sheetData>
  <autoFilter ref="A3:D15"/>
  <mergeCells count="2">
    <mergeCell ref="A1:D1"/>
    <mergeCell ref="A2:D2"/>
  </mergeCells>
  <printOptions horizontalCentered="1"/>
  <pageMargins left="0.45" right="0.45" top="0.7" bottom="0.55" header="0.26" footer="0.26"/>
  <pageSetup orientation="landscape" paperSize="8" scale="70" fitToHeight="0" fitToWidth="1" horizontalDpi="300" verticalDpi="300"/>
  <headerFooter>
    <oddHeader>&amp;L&amp;"Meiryo UI"&amp;9親子JVMのプロセス・メモリ・vCPU&amp;C&amp;R&amp;"Meiryo UI"&amp;9確認日 2026-10-14</oddHeader>
    <oddFooter>&amp;L&amp;"Meiryo UI"&amp;8見本の数字は仮の値。実測は対象サーバで採取する。&amp;C&amp;"Meiryo UI"&amp;9近所と外部&amp;R&amp;"Meiryo UI"&amp;9&amp;P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5C5C5C"/>
    <outlinePr summaryBelow="1" summaryRight="1"/>
    <pageSetUpPr fitToPage="1"/>
  </sheetPr>
  <dimension ref="A1:D17"/>
  <sheetViews>
    <sheetView showGridLines="0" view="normal" zoomScale="100" workbookViewId="0">
      <pane ySplit="3" topLeftCell="A4" activePane="bottomLeft" state="frozen"/>
      <selection pane="bottomLeft" activeCell="A1" sqref="A1"/>
    </sheetView>
  </sheetViews>
  <sheetFormatPr baseColWidth="8" defaultColWidth="3" defaultRowHeight="18"/>
  <cols>
    <col width="18" customWidth="1" min="1" max="1"/>
    <col width="40" customWidth="1" min="2" max="2"/>
    <col width="48" customWidth="1" min="3" max="3"/>
    <col width="32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</cols>
  <sheetData>
    <row r="1" ht="32" customHeight="1">
      <c r="A1" s="6" t="inlineStr">
        <is>
          <t>子10本の重なり</t>
        </is>
      </c>
      <c r="B1" s="6" t="n"/>
      <c r="C1" s="6" t="n"/>
      <c r="D1" s="6" t="n"/>
    </row>
    <row r="2" ht="36" customHeight="1">
      <c r="A2" s="7" t="inlineStr">
        <is>
          <t>10倍してよいものと、1つのままのものを分けた。見本の88ワーカーは、GCが重なった瞬間の上限。</t>
        </is>
      </c>
      <c r="B2" s="7" t="n"/>
      <c r="C2" s="7" t="n"/>
      <c r="D2" s="7" t="n"/>
    </row>
    <row r="3" ht="70" customHeight="1">
      <c r="A3" s="3" t="inlineStr">
        <is>
          <t>種類</t>
        </is>
      </c>
      <c r="B3" s="3" t="inlineStr">
        <is>
          <t>項目</t>
        </is>
      </c>
      <c r="C3" s="3" t="inlineStr">
        <is>
          <t>10本での扱い</t>
        </is>
      </c>
      <c r="D3" s="3" t="inlineStr">
        <is>
          <t>見本の数</t>
        </is>
      </c>
    </row>
    <row r="4" ht="22" customHeight="1">
      <c r="A4" s="4" t="inlineStr">
        <is>
          <t>足し算する</t>
        </is>
      </c>
      <c r="B4" s="4" t="inlineStr">
        <is>
          <t>ヒープ上限</t>
        </is>
      </c>
      <c r="C4" s="4" t="inlineStr">
        <is>
          <t>子の-Xmxを本数回足し、親を足す。</t>
        </is>
      </c>
      <c r="D4" s="4" t="inlineStr">
        <is>
          <t>0.5+10=10.5GiB</t>
        </is>
      </c>
    </row>
    <row r="5" ht="38" customHeight="1">
      <c r="A5" s="5" t="inlineStr">
        <is>
          <t>足し算する</t>
        </is>
      </c>
      <c r="B5" s="5" t="inlineStr">
        <is>
          <t>私有のメタスペース、スタック、ダイレクト</t>
        </is>
      </c>
      <c r="C5" s="5" t="inlineStr">
        <is>
          <t>プロセスごとに持つ。</t>
        </is>
      </c>
      <c r="D5" s="5" t="inlineStr">
        <is>
          <t>シート「計算」</t>
        </is>
      </c>
    </row>
    <row r="6" ht="38" customHeight="1">
      <c r="A6" s="4" t="inlineStr">
        <is>
          <t>足し算する</t>
        </is>
      </c>
      <c r="B6" s="4" t="inlineStr">
        <is>
          <t>Young GCが重なったときのワーカー</t>
        </is>
      </c>
      <c r="C6" s="4" t="inlineStr">
        <is>
          <t>1JVMの人数×JVM本数。</t>
        </is>
      </c>
      <c r="D6" s="4" t="inlineStr">
        <is>
          <t>8×11=88。vCPUの11倍</t>
        </is>
      </c>
    </row>
    <row r="7" ht="22" customHeight="1">
      <c r="A7" s="5" t="inlineStr">
        <is>
          <t>足し算する</t>
        </is>
      </c>
      <c r="B7" s="5" t="inlineStr">
        <is>
          <t>JDBC接続</t>
        </is>
      </c>
      <c r="C7" s="5" t="inlineStr">
        <is>
          <t>子が各自プールを持つと本数倍。</t>
        </is>
      </c>
      <c r="D7" s="5" t="inlineStr">
        <is>
          <t>各10接続なら100</t>
        </is>
      </c>
    </row>
    <row r="8" ht="22" customHeight="1">
      <c r="A8" s="4" t="inlineStr">
        <is>
          <t>足し算する</t>
        </is>
      </c>
      <c r="B8" s="4" t="inlineStr">
        <is>
          <t>ログの書き込み</t>
        </is>
      </c>
      <c r="C8" s="4" t="inlineStr">
        <is>
          <t>同じディスクキューに乗る。</t>
        </is>
      </c>
      <c r="D8" s="4" t="inlineStr">
        <is>
          <t>sar -dのwkB/s</t>
        </is>
      </c>
    </row>
    <row r="9" ht="22" customHeight="1">
      <c r="A9" s="5" t="inlineStr">
        <is>
          <t>足さない</t>
        </is>
      </c>
      <c r="B9" s="5" t="inlineStr">
        <is>
          <t>vCPU</t>
        </is>
      </c>
      <c r="C9" s="5" t="inlineStr">
        <is>
          <t>机の数は固定。</t>
        </is>
      </c>
      <c r="D9" s="5" t="inlineStr">
        <is>
          <t>見本は8</t>
        </is>
      </c>
    </row>
    <row r="10" ht="22" customHeight="1">
      <c r="A10" s="4" t="inlineStr">
        <is>
          <t>足さない</t>
        </is>
      </c>
      <c r="B10" s="4" t="inlineStr">
        <is>
          <t>物理メモリ</t>
        </is>
      </c>
      <c r="C10" s="4" t="inlineStr">
        <is>
          <t>ロッカーの大きさは固定。</t>
        </is>
      </c>
      <c r="D10" s="4" t="inlineStr">
        <is>
          <t>見本は16GiB</t>
        </is>
      </c>
    </row>
    <row r="11" ht="22" customHeight="1">
      <c r="A11" s="5" t="inlineStr">
        <is>
          <t>足さない</t>
        </is>
      </c>
      <c r="B11" s="5" t="inlineStr">
        <is>
          <t>共有ライブラリの実メモリ</t>
        </is>
      </c>
      <c r="C11" s="5" t="inlineStr">
        <is>
          <t>ページキャッシュ上で1回。</t>
        </is>
      </c>
      <c r="D11" s="5" t="inlineStr">
        <is>
          <t>RSS合計との差分</t>
        </is>
      </c>
    </row>
    <row r="12" ht="22" customHeight="1">
      <c r="A12" s="4" t="inlineStr">
        <is>
          <t>足さない</t>
        </is>
      </c>
      <c r="B12" s="4" t="inlineStr">
        <is>
          <t>親JVM</t>
        </is>
      </c>
      <c r="C12" s="4" t="inlineStr">
        <is>
          <t>監督役は1本。</t>
        </is>
      </c>
      <c r="D12" s="4" t="inlineStr">
        <is>
          <t>ピークでも親は1</t>
        </is>
      </c>
    </row>
    <row r="13" ht="22" customHeight="1">
      <c r="A13" s="5" t="inlineStr">
        <is>
          <t>新しく起きる</t>
        </is>
      </c>
      <c r="B13" s="5" t="inlineStr">
        <is>
          <t>冷えた同時起動</t>
        </is>
      </c>
      <c r="C13" s="5" t="inlineStr">
        <is>
          <t>クラスロードとJITが重なる。</t>
        </is>
      </c>
      <c r="D13" s="5" t="inlineStr">
        <is>
          <t>proc/sとmajflt/sの短い山</t>
        </is>
      </c>
    </row>
    <row r="14" ht="38" customHeight="1">
      <c r="A14" s="4" t="inlineStr">
        <is>
          <t>新しく起きる</t>
        </is>
      </c>
      <c r="B14" s="4" t="inlineStr">
        <is>
          <t>GCの周期的な重なり</t>
        </is>
      </c>
      <c r="C14" s="4" t="inlineStr">
        <is>
          <t>各子のGCは独立なので、山がそろうことがある。</t>
        </is>
      </c>
      <c r="D14" s="4" t="inlineStr">
        <is>
          <t>GCログとrunq-sz</t>
        </is>
      </c>
    </row>
    <row r="15" ht="38" customHeight="1">
      <c r="A15" s="5" t="inlineStr">
        <is>
          <t>新しく起きる</t>
        </is>
      </c>
      <c r="B15" s="5" t="inlineStr">
        <is>
          <t>1本だけ遅い</t>
        </is>
      </c>
      <c r="C15" s="5" t="inlineStr">
        <is>
          <t>その枠が塞がり、同時数10のまま次が始まらない。</t>
        </is>
      </c>
      <c r="D15" s="5" t="inlineStr">
        <is>
          <t>PIDごとのjstat</t>
        </is>
      </c>
    </row>
    <row r="16" ht="22" customHeight="1">
      <c r="A16" s="4" t="inlineStr">
        <is>
          <t>見積もり</t>
        </is>
      </c>
      <c r="B16" s="4" t="inlineStr">
        <is>
          <t>推定居住量</t>
        </is>
      </c>
      <c r="C16" s="4" t="inlineStr">
        <is>
          <t>見本の入力では約14.59GiB。</t>
        </is>
      </c>
      <c r="D16" s="4" t="inlineStr">
        <is>
          <t>14.590625GiB</t>
        </is>
      </c>
    </row>
    <row r="17" ht="22" customHeight="1">
      <c r="A17" s="5" t="inlineStr">
        <is>
          <t>見積もり</t>
        </is>
      </c>
      <c r="B17" s="5" t="inlineStr">
        <is>
          <t>OS予約2GiBを引いた余り</t>
        </is>
      </c>
      <c r="C17" s="5" t="inlineStr">
        <is>
          <t>見本では約0.59GiB不足。</t>
        </is>
      </c>
      <c r="D17" s="5" t="inlineStr">
        <is>
          <t>-0.590625GiB</t>
        </is>
      </c>
    </row>
  </sheetData>
  <autoFilter ref="A3:D17"/>
  <mergeCells count="2">
    <mergeCell ref="A1:D1"/>
    <mergeCell ref="A2:D2"/>
  </mergeCells>
  <printOptions horizontalCentered="1"/>
  <pageMargins left="0.45" right="0.45" top="0.7" bottom="0.55" header="0.26" footer="0.26"/>
  <pageSetup orientation="landscape" paperSize="8" scale="70" fitToHeight="0" fitToWidth="1" horizontalDpi="300" verticalDpi="300"/>
  <headerFooter>
    <oddHeader>&amp;L&amp;"Meiryo UI"&amp;9親子JVMのプロセス・メモリ・vCPU&amp;C&amp;R&amp;"Meiryo UI"&amp;9確認日 2026-10-14</oddHeader>
    <oddFooter>&amp;L&amp;"Meiryo UI"&amp;8見本の数字は仮の値。実測は対象サーバで採取する。&amp;C&amp;"Meiryo UI"&amp;9子10本の重なり&amp;R&amp;"Meiryo UI"&amp;9&amp;P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5C5C5C"/>
    <outlinePr summaryBelow="1" summaryRight="1"/>
    <pageSetUpPr fitToPage="1"/>
  </sheetPr>
  <dimension ref="A1:D15"/>
  <sheetViews>
    <sheetView showGridLines="0" view="normal" zoomScale="100" workbookViewId="0">
      <pane ySplit="3" topLeftCell="A4" activePane="bottomLeft" state="frozen"/>
      <selection pane="bottomLeft" activeCell="A1" sqref="A1"/>
    </sheetView>
  </sheetViews>
  <sheetFormatPr baseColWidth="8" defaultColWidth="3" defaultRowHeight="18"/>
  <cols>
    <col width="14" customWidth="1" min="1" max="1"/>
    <col width="55" customWidth="1" min="2" max="2"/>
    <col width="46" customWidth="1" min="3" max="3"/>
    <col width="22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</cols>
  <sheetData>
    <row r="1" ht="32" customHeight="1">
      <c r="A1" s="6" t="inlineStr">
        <is>
          <t>試験で見ること</t>
        </is>
      </c>
      <c r="B1" s="6" t="n"/>
      <c r="C1" s="6" t="n"/>
      <c r="D1" s="6" t="n"/>
    </row>
    <row r="2" ht="36" customHeight="1">
      <c r="A2" s="7" t="inlineStr">
        <is>
          <t>環境を固定し、4枚の写真を撮る。合否の制限時間は業務側の値。インフラは、時間がどこで溶けたかを言う。</t>
        </is>
      </c>
      <c r="B2" s="7" t="n"/>
      <c r="C2" s="7" t="n"/>
      <c r="D2" s="7" t="n"/>
    </row>
    <row r="3" ht="70" customHeight="1">
      <c r="A3" s="3" t="inlineStr">
        <is>
          <t>分類</t>
        </is>
      </c>
      <c r="B3" s="3" t="inlineStr">
        <is>
          <t>確認すること</t>
        </is>
      </c>
      <c r="C3" s="3" t="inlineStr">
        <is>
          <t>なぜ要るか</t>
        </is>
      </c>
      <c r="D3" s="3" t="inlineStr">
        <is>
          <t>タイミング</t>
        </is>
      </c>
    </row>
    <row r="4" ht="38" customHeight="1">
      <c r="A4" s="4" t="inlineStr">
        <is>
          <t>環境</t>
        </is>
      </c>
      <c r="B4" s="4" t="inlineStr">
        <is>
          <t>インスタンスタイプ、vCPU、Thread(s) per core、メモリ、NUMA、EBS、ネットワーク仕様</t>
        </is>
      </c>
      <c r="C4" s="4" t="inlineStr">
        <is>
          <t>机とロッカーと通路の大きさが、解釈の分母になる。</t>
        </is>
      </c>
      <c r="D4" s="4" t="inlineStr">
        <is>
          <t>試験前</t>
        </is>
      </c>
    </row>
    <row r="5" ht="22" customHeight="1">
      <c r="A5" s="5" t="inlineStr">
        <is>
          <t>環境</t>
        </is>
      </c>
      <c r="B5" s="5" t="inlineStr">
        <is>
          <t>redhat-releaseとuname -r</t>
        </is>
      </c>
      <c r="C5" s="5" t="inlineStr">
        <is>
          <t>9.8のGAカーネルからエラータで進む。</t>
        </is>
      </c>
      <c r="D5" s="5" t="inlineStr">
        <is>
          <t>試験前</t>
        </is>
      </c>
    </row>
    <row r="6" ht="38" customHeight="1">
      <c r="A6" s="4" t="inlineStr">
        <is>
          <t>環境</t>
        </is>
      </c>
      <c r="B6" s="4" t="inlineStr">
        <is>
          <t>java -versionとrpm -q java-21-openjdk-headless</t>
        </is>
      </c>
      <c r="C6" s="4" t="inlineStr">
        <is>
          <t>OpenJDK 21の更新版を固定する。</t>
        </is>
      </c>
      <c r="D6" s="4" t="inlineStr">
        <is>
          <t>試験前</t>
        </is>
      </c>
    </row>
    <row r="7" ht="54" customHeight="1">
      <c r="A7" s="5" t="inlineStr">
        <is>
          <t>フラグ</t>
        </is>
      </c>
      <c r="B7" s="5" t="inlineStr">
        <is>
          <t>親と各子のMaxHeapSize、GC、ParallelGCThreads、ActiveProcessorCount、AlwaysPreTouch、NMT</t>
        </is>
      </c>
      <c r="C7" s="5" t="inlineStr">
        <is>
          <t>スクリプトの値と実効値が違うことがある。</t>
        </is>
      </c>
      <c r="D7" s="5" t="inlineStr">
        <is>
          <t>ピークで全PID</t>
        </is>
      </c>
    </row>
    <row r="8" ht="38" customHeight="1">
      <c r="A8" s="4" t="inlineStr">
        <is>
          <t>フラグ</t>
        </is>
      </c>
      <c r="B8" s="4" t="inlineStr">
        <is>
          <t>CDSが共有できたか。起動方式がposix_spawnか。</t>
        </is>
      </c>
      <c r="C8" s="4" t="inlineStr">
        <is>
          <t>起動の山と、fork失敗の切り分け。</t>
        </is>
      </c>
      <c r="D8" s="4" t="inlineStr">
        <is>
          <t>起動ログ</t>
        </is>
      </c>
    </row>
    <row r="9" ht="54" customHeight="1">
      <c r="A9" s="5" t="inlineStr">
        <is>
          <t>カーネル</t>
        </is>
      </c>
      <c r="B9" s="5" t="inlineStr">
        <is>
          <t>overcommit、swappiness、THP、スワップの有無、LimitNOFILE、TasksMax、MemoryMax、CPUQuota</t>
        </is>
      </c>
      <c r="C9" s="5" t="inlineStr">
        <is>
          <t>失敗の見た目が性能劣化に見える項目。</t>
        </is>
      </c>
      <c r="D9" s="5" t="inlineStr">
        <is>
          <t>試験前</t>
        </is>
      </c>
    </row>
    <row r="10" ht="22" customHeight="1">
      <c r="A10" s="4" t="inlineStr">
        <is>
          <t>写真A</t>
        </is>
      </c>
      <c r="B10" s="4" t="inlineStr">
        <is>
          <t>親だけ。free、sar 60秒、親のNMTとPSS。</t>
        </is>
      </c>
      <c r="C10" s="4" t="inlineStr">
        <is>
          <t>近所と親の常駐費。</t>
        </is>
      </c>
      <c r="D10" s="4" t="inlineStr">
        <is>
          <t>子の前</t>
        </is>
      </c>
    </row>
    <row r="11" ht="22" customHeight="1">
      <c r="A11" s="5" t="inlineStr">
        <is>
          <t>写真B</t>
        </is>
      </c>
      <c r="B11" s="5" t="inlineStr">
        <is>
          <t>子1本が温まった状態。</t>
        </is>
      </c>
      <c r="C11" s="5" t="inlineStr">
        <is>
          <t>1本の単価。10本との差が奪い合い。</t>
        </is>
      </c>
      <c r="D11" s="5" t="inlineStr">
        <is>
          <t>可能なら</t>
        </is>
      </c>
    </row>
    <row r="12" ht="38" customHeight="1">
      <c r="A12" s="4" t="inlineStr">
        <is>
          <t>写真C</t>
        </is>
      </c>
      <c r="B12" s="4" t="inlineStr">
        <is>
          <t>子10本の山。1秒のsarとpidstat。NMTは1巡だけ。</t>
        </is>
      </c>
      <c r="C12" s="4" t="inlineStr">
        <is>
          <t>共有資源の上限。</t>
        </is>
      </c>
      <c r="D12" s="4" t="inlineStr">
        <is>
          <t>業務ピーク</t>
        </is>
      </c>
    </row>
    <row r="13" ht="38" customHeight="1">
      <c r="A13" s="5" t="inlineStr">
        <is>
          <t>写真D</t>
        </is>
      </c>
      <c r="B13" s="5" t="inlineStr">
        <is>
          <t>子が終わったあと。javaは親だけ。kbanonpgが戻るか。</t>
        </is>
      </c>
      <c r="C13" s="5" t="inlineStr">
        <is>
          <t>親のリークと、残った子。</t>
        </is>
      </c>
      <c r="D13" s="5" t="inlineStr">
        <is>
          <t>終了直後</t>
        </is>
      </c>
    </row>
    <row r="14" ht="38" customHeight="1">
      <c r="A14" s="4" t="inlineStr">
        <is>
          <t>時計</t>
        </is>
      </c>
      <c r="B14" s="4" t="inlineStr">
        <is>
          <t>timedatectlとchronyc tracking。開始時刻を親ログと揃える。</t>
        </is>
      </c>
      <c r="C14" s="4" t="inlineStr">
        <is>
          <t>GCログとsarが重ねられる。</t>
        </is>
      </c>
      <c r="D14" s="4" t="inlineStr">
        <is>
          <t>試験前と開始時</t>
        </is>
      </c>
    </row>
    <row r="15" ht="38" customHeight="1">
      <c r="A15" s="5" t="inlineStr">
        <is>
          <t>読み方</t>
        </is>
      </c>
      <c r="B15" s="5" t="inlineStr">
        <is>
          <t>経過時間が制限を超えたとき、CPU、await、スワップ、外待ちのどれかを先に1つ決める。</t>
        </is>
      </c>
      <c r="C15" s="5" t="inlineStr">
        <is>
          <t>形が決まる前の増強は、待ちを大きい机へ移す。</t>
        </is>
      </c>
      <c r="D15" s="5" t="inlineStr">
        <is>
          <t>報告書</t>
        </is>
      </c>
    </row>
  </sheetData>
  <autoFilter ref="A3:D15"/>
  <mergeCells count="2">
    <mergeCell ref="A1:D1"/>
    <mergeCell ref="A2:D2"/>
  </mergeCells>
  <printOptions horizontalCentered="1"/>
  <pageMargins left="0.45" right="0.45" top="0.7" bottom="0.55" header="0.26" footer="0.26"/>
  <pageSetup orientation="landscape" paperSize="8" scale="70" fitToHeight="0" fitToWidth="1" horizontalDpi="300" verticalDpi="300"/>
  <headerFooter>
    <oddHeader>&amp;L&amp;"Meiryo UI"&amp;9親子JVMのプロセス・メモリ・vCPU&amp;C&amp;R&amp;"Meiryo UI"&amp;9確認日 2026-10-14</oddHeader>
    <oddFooter>&amp;L&amp;"Meiryo UI"&amp;8見本の数字は仮の値。実測は対象サーバで採取する。&amp;C&amp;"Meiryo UI"&amp;9試験で見ること&amp;R&amp;"Meiryo UI"&amp;9&amp;P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5C5C5C"/>
    <outlinePr summaryBelow="1" summaryRight="1"/>
    <pageSetUpPr fitToPage="1"/>
  </sheetPr>
  <dimension ref="A1:C23"/>
  <sheetViews>
    <sheetView showGridLines="0" view="normal" zoomScale="100" workbookViewId="0">
      <pane ySplit="3" topLeftCell="A4" activePane="bottomLeft" state="frozen"/>
      <selection pane="bottomLeft" activeCell="A1" sqref="A1"/>
    </sheetView>
  </sheetViews>
  <sheetFormatPr baseColWidth="8" defaultColWidth="3" defaultRowHeight="18"/>
  <cols>
    <col width="28" customWidth="1" min="1" max="1"/>
    <col width="78" customWidth="1" min="2" max="2"/>
    <col width="62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</cols>
  <sheetData>
    <row r="1" ht="32" customHeight="1">
      <c r="A1" s="6" t="inlineStr">
        <is>
          <t>sarの読み方</t>
        </is>
      </c>
      <c r="B1" s="6" t="n"/>
      <c r="C1" s="6" t="n"/>
    </row>
    <row r="2" ht="36" customHeight="1">
      <c r="A2" s="7" t="inlineStr">
        <is>
          <t>日記の家系、最初の1行の意味、RHEL 9でのメモリの式、試験で残すオプション。</t>
        </is>
      </c>
      <c r="B2" s="7" t="n"/>
      <c r="C2" s="7" t="n"/>
    </row>
    <row r="3" ht="54" customHeight="1">
      <c r="A3" s="3" t="inlineStr">
        <is>
          <t>項目</t>
        </is>
      </c>
      <c r="B3" s="3" t="inlineStr">
        <is>
          <t>内容</t>
        </is>
      </c>
      <c r="C3" s="3" t="inlineStr">
        <is>
          <t>親子JVMでの読み方</t>
        </is>
      </c>
    </row>
    <row r="4" ht="54" customHeight="1">
      <c r="A4" s="4" t="inlineStr">
        <is>
          <t>家系</t>
        </is>
      </c>
      <c r="B4" s="4" t="inlineStr">
        <is>
          <t>System Vのsarを、1999年ごろからのsysstatがLinuxへ運んだ。収集がsadc、定時がsa1とsysstat-collect.timer、表示がsar、変換がsadf。</t>
        </is>
      </c>
      <c r="C4" s="4" t="inlineStr">
        <is>
          <t>10分間隔の/var/log/saは背景。試験の山は1秒で別ファイルへ書く。</t>
        </is>
      </c>
    </row>
    <row r="5" ht="22" customHeight="1">
      <c r="A5" s="5" t="inlineStr">
        <is>
          <t>間隔0</t>
        </is>
      </c>
      <c r="B5" s="5" t="inlineStr">
        <is>
          <t>sarの間隔が0のときだけ、起動後の平均を出す。</t>
        </is>
      </c>
      <c r="C5" s="5" t="inlineStr">
        <is>
          <t>試験のsar 1は、間隔の差分として読む。</t>
        </is>
      </c>
    </row>
    <row r="6" ht="38" customHeight="1">
      <c r="A6" s="4" t="inlineStr">
        <is>
          <t>vmstatとiostat</t>
        </is>
      </c>
      <c r="B6" s="4" t="inlineStr">
        <is>
          <t>最初の1行は起動後平均。iostatは-yで省ける。vmstatも-yがある版がある。</t>
        </is>
      </c>
      <c r="C6" s="4" t="inlineStr">
        <is>
          <t>2行目以降を採用する。</t>
        </is>
      </c>
    </row>
    <row r="7" ht="22" customHeight="1">
      <c r="A7" s="5" t="inlineStr">
        <is>
          <t>pidstat</t>
        </is>
      </c>
      <c r="B7" s="5" t="inlineStr">
        <is>
          <t>最初のブロックが起動後平均になる版がある。</t>
        </is>
      </c>
      <c r="C7" s="5" t="inlineStr">
        <is>
          <t>2回目のブロック以降を採用する。</t>
        </is>
      </c>
    </row>
    <row r="8" ht="22" customHeight="1">
      <c r="A8" s="4" t="inlineStr">
        <is>
          <t>Average行</t>
        </is>
      </c>
      <c r="B8" s="4" t="inlineStr">
        <is>
          <t>その窓の平均。山が短くアイドルが長いと、山が小さくなる。</t>
        </is>
      </c>
      <c r="C8" s="4" t="inlineStr">
        <is>
          <t>ピークはピークの時刻の行で読む。</t>
        </is>
      </c>
    </row>
    <row r="9" ht="38" customHeight="1">
      <c r="A9" s="5" t="inlineStr">
        <is>
          <t>sar -u ALL -P ALL 1</t>
        </is>
      </c>
      <c r="B9" s="5" t="inlineStr">
        <is>
          <t>user、system、iowait、steal、idleに加え、irq、soft、guest。CPUごと。</t>
        </is>
      </c>
      <c r="C9" s="5" t="inlineStr">
        <is>
          <t>allが50%でも1つのCPUが100%なら、1スレッドが律速。</t>
        </is>
      </c>
    </row>
    <row r="10" ht="38" customHeight="1">
      <c r="A10" s="4" t="inlineStr">
        <is>
          <t>仮のCPU行</t>
        </is>
      </c>
      <c r="B10" s="4" t="inlineStr">
        <is>
          <t>user 78、system 6、iowait 0.4、steal 0、idle 15、という並びの例。</t>
        </is>
      </c>
      <c r="C10" s="4" t="inlineStr">
        <is>
          <t>計算が主体で、ディスク待ちとstealは小さい、という解釈。測定値ではない。</t>
        </is>
      </c>
    </row>
    <row r="11" ht="38" customHeight="1">
      <c r="A11" s="5" t="inlineStr">
        <is>
          <t>sar -q ALL 1</t>
        </is>
      </c>
      <c r="B11" s="5" t="inlineStr">
        <is>
          <t>runq-sz、plist-sz、ldavg-1/5/15、blocked。</t>
        </is>
      </c>
      <c r="C11" s="5" t="inlineStr">
        <is>
          <t>runq-szをvCPUと並べる。blockedが本体ならディスク。</t>
        </is>
      </c>
    </row>
    <row r="12" ht="38" customHeight="1">
      <c r="A12" s="4" t="inlineStr">
        <is>
          <t>sar -r ALL 1</t>
        </is>
      </c>
      <c r="B12" s="4" t="inlineStr">
        <is>
          <t>kbavail、kbanonpg、kbcached、kbdirty、%commit、kbpgtbl、kbkstack、kbmemused。</t>
        </is>
      </c>
      <c r="C12" s="4" t="inlineStr">
        <is>
          <t>余りはkbavail。匿名の増減はkbanonpg。</t>
        </is>
      </c>
    </row>
    <row r="13" ht="38" customHeight="1">
      <c r="A13" s="5" t="inlineStr">
        <is>
          <t>kbmemusedの式</t>
        </is>
      </c>
      <c r="B13" s="5" t="inlineStr">
        <is>
          <t>MemTotal−MemFree−Buffers−Cached−Slab。%memusedはその割合。</t>
        </is>
      </c>
      <c r="C13" s="5" t="inlineStr">
        <is>
          <t>RHEL 8の手順書の式をRHEL 9へ持ち越さない。</t>
        </is>
      </c>
    </row>
    <row r="14" ht="38" customHeight="1">
      <c r="A14" s="4" t="inlineStr">
        <is>
          <t>sar -S と -W</t>
        </is>
      </c>
      <c r="B14" s="4" t="inlineStr">
        <is>
          <t>スワップ残量と、pswpin/s、pswpout/s。</t>
        </is>
      </c>
      <c r="C14" s="4" t="inlineStr">
        <is>
          <t>業務中の継続したpswpin/sは、JVMの試験では不合格条件として扱う。</t>
        </is>
      </c>
    </row>
    <row r="15" ht="38" customHeight="1">
      <c r="A15" s="5" t="inlineStr">
        <is>
          <t>sar -B</t>
        </is>
      </c>
      <c r="B15" s="5" t="inlineStr">
        <is>
          <t>pgpgin/s、pgpgout/s、fault/s、majflt/s。</t>
        </is>
      </c>
      <c r="C15" s="5" t="inlineStr">
        <is>
          <t>majfltがファイルかスワップかは、pswpinと同時刻で分ける。</t>
        </is>
      </c>
    </row>
    <row r="16" ht="22" customHeight="1">
      <c r="A16" s="4" t="inlineStr">
        <is>
          <t>sar -w</t>
        </is>
      </c>
      <c r="B16" s="4" t="inlineStr">
        <is>
          <t>proc/sとcswch/s。</t>
        </is>
      </c>
      <c r="C16" s="4" t="inlineStr">
        <is>
          <t>子の起動秒にproc/sの山。切替の内訳はpidstat -w。</t>
        </is>
      </c>
    </row>
    <row r="17" ht="38" customHeight="1">
      <c r="A17" s="5" t="inlineStr">
        <is>
          <t>sar -d -p</t>
        </is>
      </c>
      <c r="B17" s="5" t="inlineStr">
        <is>
          <t>デバイス名をnvme0n1のように出す。rkB/s、wkB/s、await、aqu-sz。</t>
        </is>
      </c>
      <c r="C17" s="5" t="inlineStr">
        <is>
          <t>awaitが伸びてidleが増えると、経過時間はディスク待ち。</t>
        </is>
      </c>
    </row>
    <row r="18" ht="38" customHeight="1">
      <c r="A18" s="4" t="inlineStr">
        <is>
          <t>sar -n DEV</t>
        </is>
      </c>
      <c r="B18" s="4" t="inlineStr">
        <is>
          <t>rxkB/s、txkB/s、%ifutil。</t>
        </is>
      </c>
      <c r="C18" s="4" t="inlineStr">
        <is>
          <t>帯域が細くidleが大きい遅さは、相手側の待ちを疑う。</t>
        </is>
      </c>
    </row>
    <row r="19" ht="22" customHeight="1">
      <c r="A19" s="5" t="inlineStr">
        <is>
          <t>sar -v / -H / -m CPU</t>
        </is>
      </c>
      <c r="B19" s="5" t="inlineStr">
        <is>
          <t>file-nr、ヒュージページ、CPU周波数。</t>
        </is>
      </c>
      <c r="C19" s="5" t="inlineStr">
        <is>
          <t>FD枯渇、明示的ヒュージページ、周波数低下の確認。</t>
        </is>
      </c>
    </row>
    <row r="20" ht="38" customHeight="1">
      <c r="A20" s="4" t="inlineStr">
        <is>
          <t>sar -A -o</t>
        </is>
      </c>
      <c r="B20" s="4" t="inlineStr">
        <is>
          <t>試験窓の全項目をバイナリで残す。例: sar -A -o /var/tmp/sa_batch 1 7200</t>
        </is>
      </c>
      <c r="C20" s="4" t="inlineStr">
        <is>
          <t>ファイルサイズと、EBSへの書き込み自身を記録する。</t>
        </is>
      </c>
    </row>
    <row r="21" ht="38" customHeight="1">
      <c r="A21" s="5" t="inlineStr">
        <is>
          <t>sadf -d</t>
        </is>
      </c>
      <c r="B21" s="5" t="inlineStr">
        <is>
          <t>あとから区切り文字付きで出す。sadf -d file -- -u ALL -r ALL -q</t>
        </is>
      </c>
      <c r="C21" s="5" t="inlineStr">
        <is>
          <t>表計算に貼る。ヘッダを残す。</t>
        </is>
      </c>
    </row>
    <row r="22" ht="38" customHeight="1">
      <c r="A22" s="4" t="inlineStr">
        <is>
          <t>PSI</t>
        </is>
      </c>
      <c r="B22" s="4" t="inlineStr">
        <is>
          <t>/proc/pressureのcpu、memory、io。someはだれかが止まった割合。fullは仕事が進まなかった割合。</t>
        </is>
      </c>
      <c r="C22" s="4" t="inlineStr">
        <is>
          <t>memoryのfullが続くときは、回収かスワップで全員が止まっている。</t>
        </is>
      </c>
    </row>
    <row r="23" ht="22" customHeight="1">
      <c r="A23" s="5" t="inlineStr">
        <is>
          <t>時刻</t>
        </is>
      </c>
      <c r="B23" s="5" t="inlineStr">
        <is>
          <t>-sと-eはHH:MM:SS。ファイルの時刻はホストのローカル。</t>
        </is>
      </c>
      <c r="C23" s="5" t="inlineStr">
        <is>
          <t>深夜をまたぐとsaDDが2日分。</t>
        </is>
      </c>
    </row>
  </sheetData>
  <autoFilter ref="A3:C23"/>
  <mergeCells count="2">
    <mergeCell ref="A1:C1"/>
    <mergeCell ref="A2:C2"/>
  </mergeCells>
  <printOptions horizontalCentered="1"/>
  <pageMargins left="0.45" right="0.45" top="0.7" bottom="0.55" header="0.26" footer="0.26"/>
  <pageSetup orientation="landscape" paperSize="8" scale="70" fitToHeight="0" fitToWidth="1" horizontalDpi="300" verticalDpi="300"/>
  <headerFooter>
    <oddHeader>&amp;L&amp;"Meiryo UI"&amp;9親子JVMのプロセス・メモリ・vCPU&amp;C&amp;R&amp;"Meiryo UI"&amp;9確認日 2026-10-14</oddHeader>
    <oddFooter>&amp;L&amp;"Meiryo UI"&amp;8見本の数字は仮の値。実測は対象サーバで採取する。&amp;C&amp;"Meiryo UI"&amp;9sarの読み方&amp;R&amp;"Meiryo UI"&amp;9&amp;P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5C5C5C"/>
    <outlinePr summaryBelow="1" summaryRight="1"/>
    <pageSetUpPr fitToPage="1"/>
  </sheetPr>
  <dimension ref="A1:E33"/>
  <sheetViews>
    <sheetView showGridLines="0" view="normal" zoomScale="100" workbookViewId="0">
      <pane ySplit="3" topLeftCell="A4" activePane="bottomLeft" state="frozen"/>
      <selection pane="bottomLeft" activeCell="A1" sqref="A1"/>
    </sheetView>
  </sheetViews>
  <sheetFormatPr baseColWidth="8" defaultColWidth="3" defaultRowHeight="18"/>
  <cols>
    <col width="12" customWidth="1" min="1" max="1"/>
    <col width="55" customWidth="1" min="2" max="2"/>
    <col width="40" customWidth="1" min="3" max="3"/>
    <col width="42" customWidth="1" min="4" max="4"/>
    <col width="36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</cols>
  <sheetData>
    <row r="1" ht="32" customHeight="1">
      <c r="A1" s="6" t="inlineStr">
        <is>
          <t>コマンド辞典</t>
        </is>
      </c>
      <c r="B1" s="6" t="n"/>
      <c r="C1" s="6" t="n"/>
      <c r="D1" s="6" t="n"/>
      <c r="E1" s="6" t="n"/>
    </row>
    <row r="2" ht="36" customHeight="1">
      <c r="A2" s="7" t="inlineStr">
        <is>
          <t>読み取り専用。ピークに毎秒重ねてよいものと、A/C/Dの3点だけにするものを分けてある。</t>
        </is>
      </c>
      <c r="B2" s="7" t="n"/>
      <c r="C2" s="7" t="n"/>
      <c r="D2" s="7" t="n"/>
      <c r="E2" s="7" t="n"/>
    </row>
    <row r="3" ht="86" customHeight="1">
      <c r="A3" s="3" t="inlineStr">
        <is>
          <t>分類</t>
        </is>
      </c>
      <c r="B3" s="3" t="inlineStr">
        <is>
          <t>コマンド</t>
        </is>
      </c>
      <c r="C3" s="3" t="inlineStr">
        <is>
          <t>何が見えるか</t>
        </is>
      </c>
      <c r="D3" s="3" t="inlineStr">
        <is>
          <t>親子JVMでの読み方</t>
        </is>
      </c>
      <c r="E3" s="3" t="inlineStr">
        <is>
          <t>注意</t>
        </is>
      </c>
    </row>
    <row r="4" ht="38" customHeight="1">
      <c r="A4" s="4" t="inlineStr">
        <is>
          <t>仕様</t>
        </is>
      </c>
      <c r="B4" s="4" t="inlineStr">
        <is>
          <t>lscpu</t>
        </is>
      </c>
      <c r="C4" s="4" t="inlineStr">
        <is>
          <t>CPU数、Thread(s) per core、NUMA、モデル名。</t>
        </is>
      </c>
      <c r="D4" s="4" t="inlineStr">
        <is>
          <t>机の数と種類。GC人数の分母。</t>
        </is>
      </c>
      <c r="E4" s="4" t="inlineStr">
        <is>
          <t>ファミリーの記憶で代用しない。</t>
        </is>
      </c>
    </row>
    <row r="5" ht="38" customHeight="1">
      <c r="A5" s="5" t="inlineStr">
        <is>
          <t>仕様</t>
        </is>
      </c>
      <c r="B5" s="5" t="inlineStr">
        <is>
          <t>free -h</t>
        </is>
      </c>
      <c r="C5" s="5" t="inlineStr">
        <is>
          <t>Mem、available、buff/cache、swap。</t>
        </is>
      </c>
      <c r="D5" s="5" t="inlineStr">
        <is>
          <t>余りはavailable。</t>
        </is>
      </c>
      <c r="E5" s="5" t="inlineStr">
        <is>
          <t>RHEL 9.1以降のusedはTotal−Available。</t>
        </is>
      </c>
    </row>
    <row r="6" ht="38" customHeight="1">
      <c r="A6" s="4" t="inlineStr">
        <is>
          <t>仕様</t>
        </is>
      </c>
      <c r="B6" s="4" t="inlineStr">
        <is>
          <t>cat /proc/meminfo</t>
        </is>
      </c>
      <c r="C6" s="4" t="inlineStr">
        <is>
          <t>MemAvailable、AnonPages、Committed_AS、PageTables、Slab。</t>
        </is>
      </c>
      <c r="D6" s="4" t="inlineStr">
        <is>
          <t>sarの列の裏付け。</t>
        </is>
      </c>
      <c r="E6" s="4" t="inlineStr">
        <is>
          <t>単位はkB。</t>
        </is>
      </c>
    </row>
    <row r="7" ht="38" customHeight="1">
      <c r="A7" s="5" t="inlineStr">
        <is>
          <t>日記</t>
        </is>
      </c>
      <c r="B7" s="5" t="inlineStr">
        <is>
          <t>sar -u ALL -P ALL 1</t>
        </is>
      </c>
      <c r="C7" s="5" t="inlineStr">
        <is>
          <t>CPU時間の内訳をCPUごと。</t>
        </is>
      </c>
      <c r="D7" s="5" t="inlineStr">
        <is>
          <t>userが高いか、stealか、idleかを見る。</t>
        </is>
      </c>
      <c r="E7" s="5" t="inlineStr">
        <is>
          <t>ヘッダ行を同じファイルに残す。</t>
        </is>
      </c>
    </row>
    <row r="8" ht="22" customHeight="1">
      <c r="A8" s="4" t="inlineStr">
        <is>
          <t>日記</t>
        </is>
      </c>
      <c r="B8" s="4" t="inlineStr">
        <is>
          <t>sar -q ALL 1</t>
        </is>
      </c>
      <c r="C8" s="4" t="inlineStr">
        <is>
          <t>実行キューとロード。</t>
        </is>
      </c>
      <c r="D8" s="4" t="inlineStr">
        <is>
          <t>runq-szとvCPUを並べる。</t>
        </is>
      </c>
      <c r="E8" s="4" t="inlineStr">
        <is>
          <t>1分ロードだけを見ない。</t>
        </is>
      </c>
    </row>
    <row r="9" ht="22" customHeight="1">
      <c r="A9" s="5" t="inlineStr">
        <is>
          <t>日記</t>
        </is>
      </c>
      <c r="B9" s="5" t="inlineStr">
        <is>
          <t>sar -r ALL 1</t>
        </is>
      </c>
      <c r="C9" s="5" t="inlineStr">
        <is>
          <t>メモリの内訳。</t>
        </is>
      </c>
      <c r="D9" s="5" t="inlineStr">
        <is>
          <t>kbavailとkbanonpgとkbcached。</t>
        </is>
      </c>
      <c r="E9" s="5" t="inlineStr">
        <is>
          <t>kbmemusedはRHEL 9の式。</t>
        </is>
      </c>
    </row>
    <row r="10" ht="38" customHeight="1">
      <c r="A10" s="4" t="inlineStr">
        <is>
          <t>日記</t>
        </is>
      </c>
      <c r="B10" s="4" t="inlineStr">
        <is>
          <t>sar -W 1</t>
        </is>
      </c>
      <c r="C10" s="4" t="inlineStr">
        <is>
          <t>スワップインとアウト。</t>
        </is>
      </c>
      <c r="D10" s="4" t="inlineStr">
        <is>
          <t>0が続いているかを見る。</t>
        </is>
      </c>
      <c r="E10" s="4" t="inlineStr">
        <is>
          <t>スワップ領域が無いホストでは総量0。</t>
        </is>
      </c>
    </row>
    <row r="11" ht="38" customHeight="1">
      <c r="A11" s="5" t="inlineStr">
        <is>
          <t>日記</t>
        </is>
      </c>
      <c r="B11" s="5" t="inlineStr">
        <is>
          <t>sar -B 1</t>
        </is>
      </c>
      <c r="C11" s="5" t="inlineStr">
        <is>
          <t>ページインとフォルト。</t>
        </is>
      </c>
      <c r="D11" s="5" t="inlineStr">
        <is>
          <t>冷えた起動のmajfltと、スワップを分ける。</t>
        </is>
      </c>
      <c r="E11" s="5" t="inlineStr">
        <is>
          <t>fault/sの増加はAlwaysPreTouch無しでも起きる。</t>
        </is>
      </c>
    </row>
    <row r="12" ht="38" customHeight="1">
      <c r="A12" s="4" t="inlineStr">
        <is>
          <t>日記</t>
        </is>
      </c>
      <c r="B12" s="4" t="inlineStr">
        <is>
          <t>sar -w 1</t>
        </is>
      </c>
      <c r="C12" s="4" t="inlineStr">
        <is>
          <t>プロセス生成とコンテキストスイッチ。</t>
        </is>
      </c>
      <c r="D12" s="4" t="inlineStr">
        <is>
          <t>起動の秒にproc/s。</t>
        </is>
      </c>
      <c r="E12" s="4" t="inlineStr">
        <is>
          <t>内訳はpidstat。</t>
        </is>
      </c>
    </row>
    <row r="13" ht="22" customHeight="1">
      <c r="A13" s="5" t="inlineStr">
        <is>
          <t>日記</t>
        </is>
      </c>
      <c r="B13" s="5" t="inlineStr">
        <is>
          <t>sar -d -p 1</t>
        </is>
      </c>
      <c r="C13" s="5" t="inlineStr">
        <is>
          <t>ディスクの待ち。</t>
        </is>
      </c>
      <c r="D13" s="5" t="inlineStr">
        <is>
          <t>awaitとaqu-sz。</t>
        </is>
      </c>
      <c r="E13" s="5" t="inlineStr">
        <is>
          <t>%utilだけでSSDを判断しない。</t>
        </is>
      </c>
    </row>
    <row r="14" ht="22" customHeight="1">
      <c r="A14" s="4" t="inlineStr">
        <is>
          <t>日記</t>
        </is>
      </c>
      <c r="B14" s="4" t="inlineStr">
        <is>
          <t>sar -n DEV 1</t>
        </is>
      </c>
      <c r="C14" s="4" t="inlineStr">
        <is>
          <t>NICの送受信。</t>
        </is>
      </c>
      <c r="D14" s="4" t="inlineStr">
        <is>
          <t>DB待ちは帯域が細い形。</t>
        </is>
      </c>
      <c r="E14" s="4" t="inlineStr">
        <is>
          <t>相手のCPUは出ない。</t>
        </is>
      </c>
    </row>
    <row r="15" ht="22" customHeight="1">
      <c r="A15" s="5" t="inlineStr">
        <is>
          <t>日記</t>
        </is>
      </c>
      <c r="B15" s="5" t="inlineStr">
        <is>
          <t>sar -A -o ファイル 1</t>
        </is>
      </c>
      <c r="C15" s="5" t="inlineStr">
        <is>
          <t>全項目のバイナリ。</t>
        </is>
      </c>
      <c r="D15" s="5" t="inlineStr">
        <is>
          <t>あとから何度でも切り出せる。</t>
        </is>
      </c>
      <c r="E15" s="5" t="inlineStr">
        <is>
          <t>書き込み自身がEBSに乗る。</t>
        </is>
      </c>
    </row>
    <row r="16" ht="22" customHeight="1">
      <c r="A16" s="4" t="inlineStr">
        <is>
          <t>日記</t>
        </is>
      </c>
      <c r="B16" s="4" t="inlineStr">
        <is>
          <t>sadf -d ファイル -- -r</t>
        </is>
      </c>
      <c r="C16" s="4" t="inlineStr">
        <is>
          <t>区切り文字の出力。</t>
        </is>
      </c>
      <c r="D16" s="4" t="inlineStr">
        <is>
          <t>Excelへ持ち込む。</t>
        </is>
      </c>
      <c r="E16" s="4" t="inlineStr">
        <is>
          <t>列順はヘッダに従う。</t>
        </is>
      </c>
    </row>
    <row r="17" ht="38" customHeight="1">
      <c r="A17" s="5" t="inlineStr">
        <is>
          <t>ライブ</t>
        </is>
      </c>
      <c r="B17" s="5" t="inlineStr">
        <is>
          <t>vmstat 1</t>
        </is>
      </c>
      <c r="C17" s="5" t="inlineStr">
        <is>
          <t>r、b、swap、io、us、sy、id、wa、stを1画面に。</t>
        </is>
      </c>
      <c r="D17" s="5" t="inlineStr">
        <is>
          <t>試験中の見張り。</t>
        </is>
      </c>
      <c r="E17" s="5" t="inlineStr">
        <is>
          <t>最初の1行は起動後平均。</t>
        </is>
      </c>
    </row>
    <row r="18" ht="22" customHeight="1">
      <c r="A18" s="4" t="inlineStr">
        <is>
          <t>ライブ</t>
        </is>
      </c>
      <c r="B18" s="4" t="inlineStr">
        <is>
          <t>mpstat -P ALL 1</t>
        </is>
      </c>
      <c r="C18" s="4" t="inlineStr">
        <is>
          <t>CPUごとの使用。</t>
        </is>
      </c>
      <c r="D18" s="4" t="inlineStr">
        <is>
          <t>1コアに寄っているかを見る。</t>
        </is>
      </c>
      <c r="E18" s="4" t="inlineStr">
        <is>
          <t>2行目以降。</t>
        </is>
      </c>
    </row>
    <row r="19" ht="38" customHeight="1">
      <c r="A19" s="5" t="inlineStr">
        <is>
          <t>ライブ</t>
        </is>
      </c>
      <c r="B19" s="5" t="inlineStr">
        <is>
          <t>iostat -xy 1</t>
        </is>
      </c>
      <c r="C19" s="5" t="inlineStr">
        <is>
          <t>拡張ディスク統計。</t>
        </is>
      </c>
      <c r="D19" s="5" t="inlineStr">
        <is>
          <t>await。</t>
        </is>
      </c>
      <c r="E19" s="5" t="inlineStr">
        <is>
          <t>最初の1行は起動後平均。-yで省ける。</t>
        </is>
      </c>
    </row>
    <row r="20" ht="38" customHeight="1">
      <c r="A20" s="4" t="inlineStr">
        <is>
          <t>ライブ</t>
        </is>
      </c>
      <c r="B20" s="4" t="inlineStr">
        <is>
          <t>pidstat -h -u -r -d -w -G 'java|jspawnhelper' 1</t>
        </is>
      </c>
      <c r="C20" s="4" t="inlineStr">
        <is>
          <t>JVMごとのCPU、RSS、IO、切替。</t>
        </is>
      </c>
      <c r="D20" s="4" t="inlineStr">
        <is>
          <t>どの子が忙しく、どの子が寝ているか。</t>
        </is>
      </c>
      <c r="E20" s="4" t="inlineStr">
        <is>
          <t>-hは横並び。人間向け単位ではない。2回目以降。</t>
        </is>
      </c>
    </row>
    <row r="21" ht="38" customHeight="1">
      <c r="A21" s="5" t="inlineStr">
        <is>
          <t>ライブ</t>
        </is>
      </c>
      <c r="B21" s="5" t="inlineStr">
        <is>
          <t>pidstat -t -u -p PID 1</t>
        </is>
      </c>
      <c r="C21" s="5" t="inlineStr">
        <is>
          <t>スレッドごと。</t>
        </is>
      </c>
      <c r="D21" s="5" t="inlineStr">
        <is>
          <t>GCワーカーとC2と業務を分ける。</t>
        </is>
      </c>
      <c r="E21" s="5" t="inlineStr">
        <is>
          <t>全PIDへ毎秒は重い。対象を絞る。</t>
        </is>
      </c>
    </row>
    <row r="22" ht="38" customHeight="1">
      <c r="A22" s="4" t="inlineStr">
        <is>
          <t>関係</t>
        </is>
      </c>
      <c r="B22" s="4" t="inlineStr">
        <is>
          <t>ps -o pid,ppid,nlwp,rss,vsz,stat,wchan,cmd -C java</t>
        </is>
      </c>
      <c r="C22" s="4" t="inlineStr">
        <is>
          <t>親子、スレッド数、状態、待ち場所。</t>
        </is>
      </c>
      <c r="D22" s="4" t="inlineStr">
        <is>
          <t>本数が11か。パイプ待ちか。</t>
        </is>
      </c>
      <c r="E22" s="4" t="inlineStr">
        <is>
          <t>%CPUは生涯平均。</t>
        </is>
      </c>
    </row>
    <row r="23" ht="22" customHeight="1">
      <c r="A23" s="5" t="inlineStr">
        <is>
          <t>関係</t>
        </is>
      </c>
      <c r="B23" s="5" t="inlineStr">
        <is>
          <t>pstree -ap 親PID</t>
        </is>
      </c>
      <c r="C23" s="5" t="inlineStr">
        <is>
          <t>起動の木。シェルが挟まるか。</t>
        </is>
      </c>
      <c r="D23" s="5" t="inlineStr">
        <is>
          <t>PPIDの解釈。</t>
        </is>
      </c>
      <c r="E23" s="5" t="inlineStr">
        <is>
          <t>jspawnhelperは瞬間。</t>
        </is>
      </c>
    </row>
    <row r="24" ht="38" customHeight="1">
      <c r="A24" s="4" t="inlineStr">
        <is>
          <t>関係</t>
        </is>
      </c>
      <c r="B24" s="4" t="inlineStr">
        <is>
          <t>smaps_rollup</t>
        </is>
      </c>
      <c r="C24" s="4" t="inlineStr">
        <is>
          <t>Rss、Pss、Shared_Clean、Private_Dirty。</t>
        </is>
      </c>
      <c r="D24" s="4" t="inlineStr">
        <is>
          <t>RSS合計と実体の差。</t>
        </is>
      </c>
      <c r="E24" s="4" t="inlineStr">
        <is>
          <t>A、C、Dの3点。</t>
        </is>
      </c>
    </row>
    <row r="25" ht="22" customHeight="1">
      <c r="A25" s="5" t="inlineStr">
        <is>
          <t>関係</t>
        </is>
      </c>
      <c r="B25" s="5" t="inlineStr">
        <is>
          <t>/proc/PID/limits と fd</t>
        </is>
      </c>
      <c r="C25" s="5" t="inlineStr">
        <is>
          <t>FD上限と使用数。</t>
        </is>
      </c>
      <c r="D25" s="5" t="inlineStr">
        <is>
          <t>Too many open filesの確認。</t>
        </is>
      </c>
      <c r="E25" s="5" t="inlineStr">
        <is>
          <t>子は親の限界を受け継ぐ。</t>
        </is>
      </c>
    </row>
    <row r="26" ht="38" customHeight="1">
      <c r="A26" s="4" t="inlineStr">
        <is>
          <t>JVM</t>
        </is>
      </c>
      <c r="B26" s="4" t="inlineStr">
        <is>
          <t>jcmd PID VM.flags</t>
        </is>
      </c>
      <c r="C26" s="4" t="inlineStr">
        <is>
          <t>実効フラグ。</t>
        </is>
      </c>
      <c r="D26" s="4" t="inlineStr">
        <is>
          <t>MaxHeapSizeがスクリプトと同じか。</t>
        </is>
      </c>
      <c r="E26" s="4" t="inlineStr">
        <is>
          <t>全子PID。</t>
        </is>
      </c>
    </row>
    <row r="27" ht="22" customHeight="1">
      <c r="A27" s="5" t="inlineStr">
        <is>
          <t>JVM</t>
        </is>
      </c>
      <c r="B27" s="5" t="inlineStr">
        <is>
          <t>jcmd PID GC.heap_info</t>
        </is>
      </c>
      <c r="C27" s="5" t="inlineStr">
        <is>
          <t>ヒープの使用と容量。</t>
        </is>
      </c>
      <c r="D27" s="5" t="inlineStr">
        <is>
          <t>上限と、いまの使用を分ける。</t>
        </is>
      </c>
      <c r="E27" s="5" t="inlineStr">
        <is>
          <t>ピークで1巡。</t>
        </is>
      </c>
    </row>
    <row r="28" ht="38" customHeight="1">
      <c r="A28" s="4" t="inlineStr">
        <is>
          <t>JVM</t>
        </is>
      </c>
      <c r="B28" s="4" t="inlineStr">
        <is>
          <t>jcmd PID VM.native_memory summary scale=MB</t>
        </is>
      </c>
      <c r="C28" s="4" t="inlineStr">
        <is>
          <t>ヒープ外の内訳。</t>
        </is>
      </c>
      <c r="D28" s="4" t="inlineStr">
        <is>
          <t>GC、Class、Thread、Code、Internal。</t>
        </is>
      </c>
      <c r="E28" s="4" t="inlineStr">
        <is>
          <t>起動時にNMTが必要。</t>
        </is>
      </c>
    </row>
    <row r="29" ht="22" customHeight="1">
      <c r="A29" s="5" t="inlineStr">
        <is>
          <t>JVM</t>
        </is>
      </c>
      <c r="B29" s="5" t="inlineStr">
        <is>
          <t>jstat -gcutil PID 1000 10</t>
        </is>
      </c>
      <c r="C29" s="5" t="inlineStr">
        <is>
          <t>領域使用率とGC時間。</t>
        </is>
      </c>
      <c r="D29" s="5" t="inlineStr">
        <is>
          <t>FGCの増加と、10本のYGCの重なり。</t>
        </is>
      </c>
      <c r="E29" s="5" t="inlineStr">
        <is>
          <t>時刻をsarと揃える。</t>
        </is>
      </c>
    </row>
    <row r="30" ht="38" customHeight="1">
      <c r="A30" s="4" t="inlineStr">
        <is>
          <t>JVM</t>
        </is>
      </c>
      <c r="B30" s="4" t="inlineStr">
        <is>
          <t>jcmd PID Thread.print</t>
        </is>
      </c>
      <c r="C30" s="4" t="inlineStr">
        <is>
          <t>スレッドの種類と待ち。</t>
        </is>
      </c>
      <c r="D30" s="4" t="inlineStr">
        <is>
          <t>commonPool、仮想スレッド、パイプ。</t>
        </is>
      </c>
      <c r="E30" s="4" t="inlineStr">
        <is>
          <t>ピークで全員に連打しない。</t>
        </is>
      </c>
    </row>
    <row r="31" ht="22" customHeight="1">
      <c r="A31" s="5" t="inlineStr">
        <is>
          <t>圧力</t>
        </is>
      </c>
      <c r="B31" s="5" t="inlineStr">
        <is>
          <t>cat /proc/pressure/memory</t>
        </is>
      </c>
      <c r="C31" s="5" t="inlineStr">
        <is>
          <t>メモリ待ちで止まった割合。</t>
        </is>
      </c>
      <c r="D31" s="5" t="inlineStr">
        <is>
          <t>fullが続くと全員が進んでいない。</t>
        </is>
      </c>
      <c r="E31" s="5" t="inlineStr">
        <is>
          <t>10秒に1回で足りる。</t>
        </is>
      </c>
    </row>
    <row r="32" ht="22" customHeight="1">
      <c r="A32" s="4" t="inlineStr">
        <is>
          <t>圧力</t>
        </is>
      </c>
      <c r="B32" s="4" t="inlineStr">
        <is>
          <t>dmesg -T | grep 'Killed process'</t>
        </is>
      </c>
      <c r="C32" s="4" t="inlineStr">
        <is>
          <t>OOM Killerの犠牲。</t>
        </is>
      </c>
      <c r="D32" s="4" t="inlineStr">
        <is>
          <t>どのJVMが消されたか。</t>
        </is>
      </c>
      <c r="E32" s="4" t="inlineStr">
        <is>
          <t>試験後に必ず1回。</t>
        </is>
      </c>
    </row>
    <row r="33" ht="38" customHeight="1">
      <c r="A33" s="5" t="inlineStr">
        <is>
          <t>仕様</t>
        </is>
      </c>
      <c r="B33" s="5" t="inlineStr">
        <is>
          <t>IMDSv2のinstance-type</t>
        </is>
      </c>
      <c r="C33" s="5" t="inlineStr">
        <is>
          <t>EC2の型番。</t>
        </is>
      </c>
      <c r="D33" s="5" t="inlineStr">
        <is>
          <t>クレジット型かどうかを仕様と照合する。</t>
        </is>
      </c>
      <c r="E33" s="5" t="inlineStr">
        <is>
          <t>トークン付きのリンクローカル。</t>
        </is>
      </c>
    </row>
  </sheetData>
  <autoFilter ref="A3:E33"/>
  <mergeCells count="2">
    <mergeCell ref="A2:E2"/>
    <mergeCell ref="A1:E1"/>
  </mergeCells>
  <printOptions horizontalCentered="1"/>
  <pageMargins left="0.45" right="0.45" top="0.7" bottom="0.55" header="0.26" footer="0.26"/>
  <pageSetup orientation="landscape" paperSize="8" scale="70" fitToHeight="0" fitToWidth="1" horizontalDpi="300" verticalDpi="300"/>
  <headerFooter>
    <oddHeader>&amp;L&amp;"Meiryo UI"&amp;9親子JVMのプロセス・メモリ・vCPU&amp;C&amp;R&amp;"Meiryo UI"&amp;9確認日 2026-10-14</oddHeader>
    <oddFooter>&amp;L&amp;"Meiryo UI"&amp;8見本の数字は仮の値。実測は対象サーバで採取する。&amp;C&amp;"Meiryo UI"&amp;9コマンド辞典&amp;R&amp;"Meiryo UI"&amp;9&amp;P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5C5C5C"/>
    <outlinePr summaryBelow="1" summaryRight="1"/>
    <pageSetUpPr fitToPage="1"/>
  </sheetPr>
  <dimension ref="A1:D16"/>
  <sheetViews>
    <sheetView showGridLines="0" view="normal" zoomScale="100" workbookViewId="0">
      <pane ySplit="3" topLeftCell="A4" activePane="bottomLeft" state="frozen"/>
      <selection pane="bottomLeft" activeCell="A1" sqref="A1"/>
    </sheetView>
  </sheetViews>
  <sheetFormatPr baseColWidth="8" defaultColWidth="3" defaultRowHeight="18"/>
  <cols>
    <col width="24" customWidth="1" min="1" max="1"/>
    <col width="52" customWidth="1" min="2" max="2"/>
    <col width="42" customWidth="1" min="3" max="3"/>
    <col width="40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</cols>
  <sheetData>
    <row r="1" ht="32" customHeight="1">
      <c r="A1" s="6" t="inlineStr">
        <is>
          <t>形の読み分け</t>
        </is>
      </c>
      <c r="B1" s="6" t="n"/>
      <c r="C1" s="6" t="n"/>
      <c r="D1" s="6" t="n"/>
    </row>
    <row r="2" ht="36" customHeight="1">
      <c r="A2" s="7" t="inlineStr">
        <is>
          <t>数字の組み合わせに名前を付けたもの。仮の閾値ではない。業務の合否は経過時間で決める。</t>
        </is>
      </c>
      <c r="B2" s="7" t="n"/>
      <c r="C2" s="7" t="n"/>
      <c r="D2" s="7" t="n"/>
    </row>
    <row r="3" ht="70" customHeight="1">
      <c r="A3" s="3" t="inlineStr">
        <is>
          <t>形の名前</t>
        </is>
      </c>
      <c r="B3" s="3" t="inlineStr">
        <is>
          <t>同時に見えているもの</t>
        </is>
      </c>
      <c r="C3" s="3" t="inlineStr">
        <is>
          <t>読めること</t>
        </is>
      </c>
      <c r="D3" s="3" t="inlineStr">
        <is>
          <t>次に見るもの</t>
        </is>
      </c>
    </row>
    <row r="4" ht="38" customHeight="1">
      <c r="A4" s="4" t="inlineStr">
        <is>
          <t>計算で机が埋まっている</t>
        </is>
      </c>
      <c r="B4" s="4" t="inlineStr">
        <is>
          <t>userが高く、stealが0、iowaitが0、kbavailが十分、pswpinが0。</t>
        </is>
      </c>
      <c r="C4" s="4" t="inlineStr">
        <is>
          <t>子のスレッドとGCがvCPUを使っている。</t>
        </is>
      </c>
      <c r="D4" s="4" t="inlineStr">
        <is>
          <t>runq-sz、nvcswch、GCログの重なり。</t>
        </is>
      </c>
    </row>
    <row r="5" ht="38" customHeight="1">
      <c r="A5" s="5" t="inlineStr">
        <is>
          <t>ディスク待ち</t>
        </is>
      </c>
      <c r="B5" s="5" t="inlineStr">
        <is>
          <t>idleがあり、awaitまたはiowaitが高く、aqu-szがある。</t>
        </is>
      </c>
      <c r="C5" s="5" t="inlineStr">
        <is>
          <t>EBS、ログ、入力ファイル。</t>
        </is>
      </c>
      <c r="D5" s="5" t="inlineStr">
        <is>
          <t>ボリュームのIOPSと、ログの書き込み量。</t>
        </is>
      </c>
    </row>
    <row r="6" ht="38" customHeight="1">
      <c r="A6" s="4" t="inlineStr">
        <is>
          <t>机を返されている</t>
        </is>
      </c>
      <c r="B6" s="4" t="inlineStr">
        <is>
          <t>stealが継続して高い。</t>
        </is>
      </c>
      <c r="C6" s="4" t="inlineStr">
        <is>
          <t>ハイパーバイザ側の制約。</t>
        </is>
      </c>
      <c r="D6" s="4" t="inlineStr">
        <is>
          <t>インスタンスタイプとCPUクレジット。</t>
        </is>
      </c>
    </row>
    <row r="7" ht="38" customHeight="1">
      <c r="A7" s="5" t="inlineStr">
        <is>
          <t>外で待っている</t>
        </is>
      </c>
      <c r="B7" s="5" t="inlineStr">
        <is>
          <t>idleが高く、runqが小さく、帯域が細い。経過時間は長い。</t>
        </is>
      </c>
      <c r="C7" s="5" t="inlineStr">
        <is>
          <t>JDBCや別APIの応答。</t>
        </is>
      </c>
      <c r="D7" s="5" t="inlineStr">
        <is>
          <t>プール合計と相手側の測定。</t>
        </is>
      </c>
    </row>
    <row r="8" ht="38" customHeight="1">
      <c r="A8" s="4" t="inlineStr">
        <is>
          <t>スワップを踏むGC</t>
        </is>
      </c>
      <c r="B8" s="4" t="inlineStr">
        <is>
          <t>kbavailが低く、pswpinが増え、majfltが増え、GC時間が伸びる。</t>
        </is>
      </c>
      <c r="C8" s="4" t="inlineStr">
        <is>
          <t>ヒープ合計かネイティブか同時本数が大きい。</t>
        </is>
      </c>
      <c r="D8" s="4" t="inlineStr">
        <is>
          <t>NMTと、子の-Xmxの合計。</t>
        </is>
      </c>
    </row>
    <row r="9" ht="38" customHeight="1">
      <c r="A9" s="5" t="inlineStr">
        <is>
          <t>キャッシュが温まっている</t>
        </is>
      </c>
      <c r="B9" s="5" t="inlineStr">
        <is>
          <t>memusedが高め、kbcachedが大きく、kbavailも残る。</t>
        </is>
      </c>
      <c r="C9" s="5" t="inlineStr">
        <is>
          <t>使用中の定義の違い。</t>
        </is>
      </c>
      <c r="D9" s="5" t="inlineStr">
        <is>
          <t>判定はkbavail。</t>
        </is>
      </c>
    </row>
    <row r="10" ht="38" customHeight="1">
      <c r="A10" s="4" t="inlineStr">
        <is>
          <t>起動の山</t>
        </is>
      </c>
      <c r="B10" s="4" t="inlineStr">
        <is>
          <t>proc/sの短い山、ファイル側のmajflt、JITスレッド。</t>
        </is>
      </c>
      <c r="C10" s="4" t="inlineStr">
        <is>
          <t>冷えた同時起動。</t>
        </is>
      </c>
      <c r="D10" s="4" t="inlineStr">
        <is>
          <t>温まった回と分けて記録する。</t>
        </is>
      </c>
    </row>
    <row r="11" ht="38" customHeight="1">
      <c r="A11" s="5" t="inlineStr">
        <is>
          <t>1本だけ遅い</t>
        </is>
      </c>
      <c r="B11" s="5" t="inlineStr">
        <is>
          <t>1つのPIDだけGCが長く、同時数は10のまま。</t>
        </is>
      </c>
      <c r="C11" s="5" t="inlineStr">
        <is>
          <t>平均ではなくその子。</t>
        </is>
      </c>
      <c r="D11" s="5" t="inlineStr">
        <is>
          <t>そのPIDのヒープとヒストグラムはピークの外で。</t>
        </is>
      </c>
    </row>
    <row r="12" ht="38" customHeight="1">
      <c r="A12" s="4" t="inlineStr">
        <is>
          <t>親の残骸</t>
        </is>
      </c>
      <c r="B12" s="4" t="inlineStr">
        <is>
          <t>写真Dの親のClass、FD、スレッドが写真Aより大きい。</t>
        </is>
      </c>
      <c r="C12" s="4" t="inlineStr">
        <is>
          <t>子は返っている。親が持っている。</t>
        </is>
      </c>
      <c r="D12" s="4" t="inlineStr">
        <is>
          <t>親のNMT。</t>
        </is>
      </c>
    </row>
    <row r="13" ht="22" customHeight="1">
      <c r="A13" s="5" t="inlineStr">
        <is>
          <t>孤児</t>
        </is>
      </c>
      <c r="B13" s="5" t="inlineStr">
        <is>
          <t>親の停止後もjavaが残り、PPIDが1。</t>
        </is>
      </c>
      <c r="C13" s="5" t="inlineStr">
        <is>
          <t>停止が子へ届いていない。</t>
        </is>
      </c>
      <c r="D13" s="5" t="inlineStr">
        <is>
          <t>pstreeとsystemdのKillMode。</t>
        </is>
      </c>
    </row>
    <row r="14" ht="38" customHeight="1">
      <c r="A14" s="4" t="inlineStr">
        <is>
          <t>パイプ詰まり</t>
        </is>
      </c>
      <c r="B14" s="4" t="inlineStr">
        <is>
          <t>子のwchanがパイプ書き込み。CPUは低い。枠が空かない。</t>
        </is>
      </c>
      <c r="C14" s="4" t="inlineStr">
        <is>
          <t>親が標準出力を読んでいない。</t>
        </is>
      </c>
      <c r="D14" s="4" t="inlineStr">
        <is>
          <t>ProcessBuilderのリダイレクト。</t>
        </is>
      </c>
    </row>
    <row r="15" ht="38" customHeight="1">
      <c r="A15" s="5" t="inlineStr">
        <is>
          <t>スレッドが作れない</t>
        </is>
      </c>
      <c r="B15" s="5" t="inlineStr">
        <is>
          <t>unable to create native thread。ヒープ使用率は低い。</t>
        </is>
      </c>
      <c r="C15" s="5" t="inlineStr">
        <is>
          <t>上限はヒープの外。</t>
        </is>
      </c>
      <c r="D15" s="5" t="inlineStr">
        <is>
          <t>NLWP、ulimit -u、pids.max。</t>
        </is>
      </c>
    </row>
    <row r="16" ht="38" customHeight="1">
      <c r="A16" s="4" t="inlineStr">
        <is>
          <t>RSSだけが大きい</t>
        </is>
      </c>
      <c r="B16" s="4" t="inlineStr">
        <is>
          <t>RSS合計がAnonPagesの増分より大きい。Shared_Cleanがある。</t>
        </is>
      </c>
      <c r="C16" s="4" t="inlineStr">
        <is>
          <t>共有ライブラリの二重計上。</t>
        </is>
      </c>
      <c r="D16" s="4" t="inlineStr">
        <is>
          <t>PSSの合計。</t>
        </is>
      </c>
    </row>
  </sheetData>
  <autoFilter ref="A3:D16"/>
  <mergeCells count="2">
    <mergeCell ref="A1:D1"/>
    <mergeCell ref="A2:D2"/>
  </mergeCells>
  <printOptions horizontalCentered="1"/>
  <pageMargins left="0.45" right="0.45" top="0.7" bottom="0.55" header="0.26" footer="0.26"/>
  <pageSetup orientation="landscape" paperSize="8" scale="70" fitToHeight="0" fitToWidth="1" horizontalDpi="300" verticalDpi="300"/>
  <headerFooter>
    <oddHeader>&amp;L&amp;"Meiryo UI"&amp;9親子JVMのプロセス・メモリ・vCPU&amp;C&amp;R&amp;"Meiryo UI"&amp;9確認日 2026-10-14</oddHeader>
    <oddFooter>&amp;L&amp;"Meiryo UI"&amp;8見本の数字は仮の値。実測は対象サーバで採取する。&amp;C&amp;"Meiryo UI"&amp;9形の読み分け&amp;R&amp;"Meiryo UI"&amp;9&amp;P /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5C5C5C"/>
    <outlinePr summaryBelow="1" summaryRight="1"/>
    <pageSetUpPr fitToPage="1"/>
  </sheetPr>
  <dimension ref="A1:D13"/>
  <sheetViews>
    <sheetView showGridLines="0" view="normal" zoomScale="100" workbookViewId="0">
      <pane ySplit="3" topLeftCell="A4" activePane="bottomLeft" state="frozen"/>
      <selection pane="bottomLeft" activeCell="A1" sqref="A1"/>
    </sheetView>
  </sheetViews>
  <sheetFormatPr baseColWidth="8" defaultColWidth="3" defaultRowHeight="18"/>
  <cols>
    <col width="8" customWidth="1" min="1" max="1"/>
    <col width="62" customWidth="1" min="2" max="2"/>
    <col width="48" customWidth="1" min="3" max="3"/>
    <col width="40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</cols>
  <sheetData>
    <row r="1" ht="32" customHeight="1">
      <c r="A1" s="6" t="inlineStr">
        <is>
          <t>試験手順</t>
        </is>
      </c>
      <c r="B1" s="6" t="n"/>
      <c r="C1" s="6" t="n"/>
      <c r="D1" s="6" t="n"/>
    </row>
    <row r="2" ht="36" customHeight="1">
      <c r="A2" s="7" t="inlineStr">
        <is>
          <t>採取の順番。コマンドの詳細は「コマンド辞典」。数字の解釈は「形の読み分け」。</t>
        </is>
      </c>
      <c r="B2" s="7" t="n"/>
      <c r="C2" s="7" t="n"/>
      <c r="D2" s="7" t="n"/>
    </row>
    <row r="3" ht="70" customHeight="1">
      <c r="A3" s="3" t="inlineStr">
        <is>
          <t>順</t>
        </is>
      </c>
      <c r="B3" s="3" t="inlineStr">
        <is>
          <t>やること</t>
        </is>
      </c>
      <c r="C3" s="3" t="inlineStr">
        <is>
          <t>残す成果物</t>
        </is>
      </c>
      <c r="D3" s="3" t="inlineStr">
        <is>
          <t>ここで分かること</t>
        </is>
      </c>
    </row>
    <row r="4" ht="38" customHeight="1">
      <c r="A4" s="4" t="inlineStr">
        <is>
          <t>1</t>
        </is>
      </c>
      <c r="B4" s="4" t="inlineStr">
        <is>
          <t>環境の固定項目を、子を増やす前にファイルへ残す。</t>
        </is>
      </c>
      <c r="C4" s="4" t="inlineStr">
        <is>
          <t>lscpu、free、uname、java -version、sysctl、THP、timedatectl。</t>
        </is>
      </c>
      <c r="D4" s="4" t="inlineStr">
        <is>
          <t>分母が固定される。</t>
        </is>
      </c>
    </row>
    <row r="5" ht="38" customHeight="1">
      <c r="A5" s="5" t="inlineStr">
        <is>
          <t>2</t>
        </is>
      </c>
      <c r="B5" s="5" t="inlineStr">
        <is>
          <t>sysstatのタイマーを確認し、当日の/var/log/saを保管する。</t>
        </is>
      </c>
      <c r="C5" s="5" t="inlineStr">
        <is>
          <t>systemctl list-timers、saDD。</t>
        </is>
      </c>
      <c r="D5" s="5" t="inlineStr">
        <is>
          <t>試験前から異常だったか。</t>
        </is>
      </c>
    </row>
    <row r="6" ht="38" customHeight="1">
      <c r="A6" s="4" t="inlineStr">
        <is>
          <t>3</t>
        </is>
      </c>
      <c r="B6" s="4" t="inlineStr">
        <is>
          <t>写真A。親だけ。</t>
        </is>
      </c>
      <c r="C6" s="4" t="inlineStr">
        <is>
          <t>sar 60秒、親のVM.flags、NMT、smaps_rollup。</t>
        </is>
      </c>
      <c r="D6" s="4" t="inlineStr">
        <is>
          <t>近所と親の常駐費。</t>
        </is>
      </c>
    </row>
    <row r="7" ht="38" customHeight="1">
      <c r="A7" s="5" t="inlineStr">
        <is>
          <t>4</t>
        </is>
      </c>
      <c r="B7" s="5" t="inlineStr">
        <is>
          <t>sar -A -oで1秒採取を始める。見張りにvmstatとpidstat。</t>
        </is>
      </c>
      <c r="C7" s="5" t="inlineStr">
        <is>
          <t>バイナリファイル。</t>
        </is>
      </c>
      <c r="D7" s="5" t="inlineStr">
        <is>
          <t>あとから切り出せる日記。</t>
        </is>
      </c>
    </row>
    <row r="8" ht="22" customHeight="1">
      <c r="A8" s="4" t="inlineStr">
        <is>
          <t>5</t>
        </is>
      </c>
      <c r="B8" s="4" t="inlineStr">
        <is>
          <t>可能なら子1本の写真B。</t>
        </is>
      </c>
      <c r="C8" s="4" t="inlineStr">
        <is>
          <t>温まったあとのRSSとjstat。</t>
        </is>
      </c>
      <c r="D8" s="4" t="inlineStr">
        <is>
          <t>1本の単価。</t>
        </is>
      </c>
    </row>
    <row r="9" ht="22" customHeight="1">
      <c r="A9" s="5" t="inlineStr">
        <is>
          <t>6</t>
        </is>
      </c>
      <c r="B9" s="5" t="inlineStr">
        <is>
          <t>同時10本を流す。開始時刻を親ログとdateで残す。</t>
        </is>
      </c>
      <c r="C9" s="5" t="inlineStr">
        <is>
          <t>開始時刻。</t>
        </is>
      </c>
      <c r="D9" s="5" t="inlineStr">
        <is>
          <t>GCログとの重ね。</t>
        </is>
      </c>
    </row>
    <row r="10" ht="38" customHeight="1">
      <c r="A10" s="4" t="inlineStr">
        <is>
          <t>7</t>
        </is>
      </c>
      <c r="B10" s="4" t="inlineStr">
        <is>
          <t>ピークで本数が親1＋子10であること、全子のMaxHeapSizeが同じことを確認する。</t>
        </is>
      </c>
      <c r="C10" s="4" t="inlineStr">
        <is>
          <t>ps、VM.flags。NMTは1巡。</t>
        </is>
      </c>
      <c r="D10" s="4" t="inlineStr">
        <is>
          <t>設定値と実効値。</t>
        </is>
      </c>
    </row>
    <row r="11" ht="22" customHeight="1">
      <c r="A11" s="5" t="inlineStr">
        <is>
          <t>8</t>
        </is>
      </c>
      <c r="B11" s="5" t="inlineStr">
        <is>
          <t>終了後の写真D。</t>
        </is>
      </c>
      <c r="C11" s="5" t="inlineStr">
        <is>
          <t>ps、kbanonpg、親のNMT、dmesg。</t>
        </is>
      </c>
      <c r="D11" s="5" t="inlineStr">
        <is>
          <t>返却と、OOMと、親の残骸。</t>
        </is>
      </c>
    </row>
    <row r="12" ht="38" customHeight="1">
      <c r="A12" s="4" t="inlineStr">
        <is>
          <t>9</t>
        </is>
      </c>
      <c r="B12" s="4" t="inlineStr">
        <is>
          <t>sadfで必要な資源を出し、GCログとrunq-szとkbavailを重ねる。</t>
        </is>
      </c>
      <c r="C12" s="4" t="inlineStr">
        <is>
          <t>表計算。</t>
        </is>
      </c>
      <c r="D12" s="4" t="inlineStr">
        <is>
          <t>山の時刻が一致するか。</t>
        </is>
      </c>
    </row>
    <row r="13" ht="38" customHeight="1">
      <c r="A13" s="5" t="inlineStr">
        <is>
          <t>10</t>
        </is>
      </c>
      <c r="B13" s="5" t="inlineStr">
        <is>
          <t>形を1つ決めてから、本数やサイズの変更を話す。</t>
        </is>
      </c>
      <c r="C13" s="5" t="inlineStr">
        <is>
          <t>報告書。物差しの種類と、冷えた回か温まった回かを書く。</t>
        </is>
      </c>
      <c r="D13" s="5" t="inlineStr">
        <is>
          <t>待ちを別の資源へ移さない。</t>
        </is>
      </c>
    </row>
  </sheetData>
  <autoFilter ref="A3:D13"/>
  <mergeCells count="2">
    <mergeCell ref="A1:D1"/>
    <mergeCell ref="A2:D2"/>
  </mergeCells>
  <printOptions horizontalCentered="1"/>
  <pageMargins left="0.45" right="0.45" top="0.7" bottom="0.55" header="0.26" footer="0.26"/>
  <pageSetup orientation="landscape" paperSize="8" scale="70" fitToHeight="0" fitToWidth="1" horizontalDpi="300" verticalDpi="300"/>
  <headerFooter>
    <oddHeader>&amp;L&amp;"Meiryo UI"&amp;9親子JVMのプロセス・メモリ・vCPU&amp;C&amp;R&amp;"Meiryo UI"&amp;9確認日 2026-10-14</oddHeader>
    <oddFooter>&amp;L&amp;"Meiryo UI"&amp;8見本の数字は仮の値。実測は対象サーバで採取する。&amp;C&amp;"Meiryo UI"&amp;9試験手順&amp;R&amp;"Meiryo UI"&amp;9&amp;P /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5C5C5C"/>
    <outlinePr summaryBelow="1" summaryRight="1"/>
    <pageSetUpPr fitToPage="1"/>
  </sheetPr>
  <dimension ref="A1:E43"/>
  <sheetViews>
    <sheetView showGridLines="0" view="normal" zoomScale="110" workbookViewId="0">
      <pane ySplit="4" topLeftCell="A5" activePane="bottomLeft" state="frozen"/>
      <selection pane="bottomLeft" activeCell="A1" sqref="A1"/>
    </sheetView>
  </sheetViews>
  <sheetFormatPr baseColWidth="8" defaultColWidth="3" defaultRowHeight="18"/>
  <cols>
    <col width="6" customWidth="1" min="1" max="1"/>
    <col width="62" customWidth="1" min="2" max="2"/>
    <col width="22" customWidth="1" min="3" max="3"/>
    <col width="18" customWidth="1" min="4" max="4"/>
    <col width="78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</cols>
  <sheetData>
    <row r="1" ht="32" customHeight="1">
      <c r="A1" s="6" t="inlineStr">
        <is>
          <t>見積もりの計算</t>
        </is>
      </c>
      <c r="B1" s="6" t="n"/>
      <c r="C1" s="6" t="n"/>
      <c r="D1" s="6" t="n"/>
      <c r="E1" s="6" t="n"/>
    </row>
    <row r="2" ht="36" customHeight="1">
      <c r="A2" s="7" t="inlineStr">
        <is>
          <t>太枠の灰色だけ入力する。結果は仮の見積もりで、試験の RSS、PSS、kbavail、NMT を置き換える前の下絵である。初期値は文書の見本と一致する。</t>
        </is>
      </c>
      <c r="B2" s="7" t="n"/>
      <c r="C2" s="7" t="n"/>
      <c r="D2" s="7" t="n"/>
      <c r="E2" s="7" t="n"/>
    </row>
    <row r="3"/>
    <row r="4" ht="24" customHeight="1">
      <c r="A4" s="3" t="inlineStr">
        <is>
          <t>区分</t>
        </is>
      </c>
      <c r="B4" s="3" t="inlineStr">
        <is>
          <t>項目</t>
        </is>
      </c>
      <c r="C4" s="3" t="inlineStr">
        <is>
          <t>値</t>
        </is>
      </c>
      <c r="D4" s="3" t="inlineStr">
        <is>
          <t>単位</t>
        </is>
      </c>
      <c r="E4" s="3" t="inlineStr">
        <is>
          <t>意味</t>
        </is>
      </c>
    </row>
    <row r="5" ht="32" customHeight="1">
      <c r="A5" s="8" t="inlineStr">
        <is>
          <t>入力</t>
        </is>
      </c>
      <c r="B5" s="4" t="inlineStr">
        <is>
          <t>vCPU 数</t>
        </is>
      </c>
      <c r="C5" s="9" t="n">
        <v>8</v>
      </c>
      <c r="D5" s="10" t="inlineStr">
        <is>
          <t>個</t>
        </is>
      </c>
      <c r="E5" s="4" t="inlineStr">
        <is>
          <t>lscpu の CPU(s)。ゲストから見える机の数。</t>
        </is>
      </c>
    </row>
    <row r="6" ht="32" customHeight="1">
      <c r="A6" s="8" t="inlineStr">
        <is>
          <t>入力</t>
        </is>
      </c>
      <c r="B6" s="4" t="inlineStr">
        <is>
          <t>物理メモリ</t>
        </is>
      </c>
      <c r="C6" s="9" t="n">
        <v>16</v>
      </c>
      <c r="D6" s="10" t="inlineStr">
        <is>
          <t>GiB</t>
        </is>
      </c>
      <c r="E6" s="4" t="inlineStr">
        <is>
          <t>free の Mem の合計。インスタンスに割り当てられたロッカー。</t>
        </is>
      </c>
    </row>
    <row r="7" ht="38" customHeight="1">
      <c r="A7" s="8" t="inlineStr">
        <is>
          <t>入力</t>
        </is>
      </c>
      <c r="B7" s="4" t="inlineStr">
        <is>
          <t>1コアあたりのスレッド数</t>
        </is>
      </c>
      <c r="C7" s="9" t="n">
        <v>1</v>
      </c>
      <c r="D7" s="10" t="inlineStr">
        <is>
          <t>本</t>
        </is>
      </c>
      <c r="E7" s="4" t="inlineStr">
        <is>
          <t>lscpu の Thread(s) per core。1なら1 vCPUが1コア。2ならハイパースレッド。</t>
        </is>
      </c>
    </row>
    <row r="8" ht="38" customHeight="1">
      <c r="A8" s="8" t="inlineStr">
        <is>
          <t>入力</t>
        </is>
      </c>
      <c r="B8" s="4" t="inlineStr">
        <is>
          <t>JVMから見えているCPU数</t>
        </is>
      </c>
      <c r="C8" s="9" t="n">
        <v>8</v>
      </c>
      <c r="D8" s="10" t="inlineStr">
        <is>
          <t>個</t>
        </is>
      </c>
      <c r="E8" s="4" t="inlineStr">
        <is>
          <t>ActiveProcessorCount か cgroup のCPU上限。無ければ vCPU 数と同じ。</t>
        </is>
      </c>
    </row>
    <row r="9" ht="32" customHeight="1">
      <c r="A9" s="8" t="inlineStr">
        <is>
          <t>入力</t>
        </is>
      </c>
      <c r="B9" s="4" t="inlineStr">
        <is>
          <t>親の -Xmx</t>
        </is>
      </c>
      <c r="C9" s="9" t="n">
        <v>512</v>
      </c>
      <c r="D9" s="10" t="inlineStr">
        <is>
          <t>MiB</t>
        </is>
      </c>
      <c r="E9" s="4" t="inlineStr">
        <is>
          <t>親JVMのヒープ上限。監督役なので子より小さいことが多い。</t>
        </is>
      </c>
    </row>
    <row r="10" ht="32" customHeight="1">
      <c r="A10" s="8" t="inlineStr">
        <is>
          <t>入力</t>
        </is>
      </c>
      <c r="B10" s="4" t="inlineStr">
        <is>
          <t>子1本の -Xmx</t>
        </is>
      </c>
      <c r="C10" s="9" t="n">
        <v>1024</v>
      </c>
      <c r="D10" s="10" t="inlineStr">
        <is>
          <t>MiB</t>
        </is>
      </c>
      <c r="E10" s="4" t="inlineStr">
        <is>
          <t>業務を実行する子のヒープ上限。本数分だけ足す。</t>
        </is>
      </c>
    </row>
    <row r="11" ht="38" customHeight="1">
      <c r="A11" s="8" t="inlineStr">
        <is>
          <t>入力</t>
        </is>
      </c>
      <c r="B11" s="4" t="inlineStr">
        <is>
          <t>同時に生きる子</t>
        </is>
      </c>
      <c r="C11" s="9" t="n">
        <v>10</v>
      </c>
      <c r="D11" s="10" t="inlineStr">
        <is>
          <t>本</t>
        </is>
      </c>
      <c r="E11" s="4" t="inlineStr">
        <is>
          <t>設定された並列起動数。ピークの java 本数は親を足して11になる想定。</t>
        </is>
      </c>
    </row>
    <row r="12" ht="32" customHeight="1">
      <c r="A12" s="8" t="inlineStr">
        <is>
          <t>入力</t>
        </is>
      </c>
      <c r="B12" s="4" t="inlineStr">
        <is>
          <t>親のスレッド数の見込</t>
        </is>
      </c>
      <c r="C12" s="9" t="n">
        <v>40</v>
      </c>
      <c r="D12" s="10" t="inlineStr">
        <is>
          <t>本</t>
        </is>
      </c>
      <c r="E12" s="4" t="inlineStr">
        <is>
          <t>pidstat -t か Thread.print で置き換える。</t>
        </is>
      </c>
    </row>
    <row r="13" ht="38" customHeight="1">
      <c r="A13" s="8" t="inlineStr">
        <is>
          <t>入力</t>
        </is>
      </c>
      <c r="B13" s="4" t="inlineStr">
        <is>
          <t>子1本のスレッド数の見込</t>
        </is>
      </c>
      <c r="C13" s="9" t="n">
        <v>60</v>
      </c>
      <c r="D13" s="10" t="inlineStr">
        <is>
          <t>本</t>
        </is>
      </c>
      <c r="E13" s="4" t="inlineStr">
        <is>
          <t>業務スレッド、GC、JITを含む概数。寝ているスレッドは机を使わない。</t>
        </is>
      </c>
    </row>
    <row r="14" ht="38" customHeight="1">
      <c r="A14" s="8" t="inlineStr">
        <is>
          <t>入力</t>
        </is>
      </c>
      <c r="B14" s="4" t="inlineStr">
        <is>
          <t>スレッドスタック</t>
        </is>
      </c>
      <c r="C14" s="9" t="n">
        <v>1024</v>
      </c>
      <c r="D14" s="10" t="inlineStr">
        <is>
          <t>KiB</t>
        </is>
      </c>
      <c r="E14" s="4" t="inlineStr">
        <is>
          <t>64bit Linux の -Xss の既定はおおよそこの値。実フラグを優先する。</t>
        </is>
      </c>
    </row>
    <row r="15" ht="32" customHeight="1">
      <c r="A15" s="8" t="inlineStr">
        <is>
          <t>入力</t>
        </is>
      </c>
      <c r="B15" s="4" t="inlineStr">
        <is>
          <t>メタスペースの見込</t>
        </is>
      </c>
      <c r="C15" s="9" t="n">
        <v>96</v>
      </c>
      <c r="D15" s="10" t="inlineStr">
        <is>
          <t>MiB/JVM</t>
        </is>
      </c>
      <c r="E15" s="4" t="inlineStr">
        <is>
          <t>NMT の Class の committed で置き換える。</t>
        </is>
      </c>
    </row>
    <row r="16" ht="38" customHeight="1">
      <c r="A16" s="8" t="inlineStr">
        <is>
          <t>入力</t>
        </is>
      </c>
      <c r="B16" s="4" t="inlineStr">
        <is>
          <t>コードキャッシュの実使用の見込</t>
        </is>
      </c>
      <c r="C16" s="9" t="n">
        <v>48</v>
      </c>
      <c r="D16" s="10" t="inlineStr">
        <is>
          <t>MiB/JVM</t>
        </is>
      </c>
      <c r="E16" s="4" t="inlineStr">
        <is>
          <t>予約240MiBを全部は足さない。NMT の Code の committed を使う。</t>
        </is>
      </c>
    </row>
    <row r="17" ht="38" customHeight="1">
      <c r="A17" s="8" t="inlineStr">
        <is>
          <t>入力</t>
        </is>
      </c>
      <c r="B17" s="4" t="inlineStr">
        <is>
          <t>ダイレクトバッファの見込</t>
        </is>
      </c>
      <c r="C17" s="9" t="n">
        <v>32</v>
      </c>
      <c r="D17" s="10" t="inlineStr">
        <is>
          <t>MiB/JVM</t>
        </is>
      </c>
      <c r="E17" s="4" t="inlineStr">
        <is>
          <t>使っていなければ小さくてよい。上限は未指定だとヒープ最大付近まで許される。</t>
        </is>
      </c>
    </row>
    <row r="18" ht="38" customHeight="1">
      <c r="A18" s="8" t="inlineStr">
        <is>
          <t>入力</t>
        </is>
      </c>
      <c r="B18" s="4" t="inlineStr">
        <is>
          <t>G1構造とglibcの割合</t>
        </is>
      </c>
      <c r="C18" s="11" t="n">
        <v>0.15</v>
      </c>
      <c r="D18" s="10" t="inlineStr">
        <is>
          <t>対ヒープ</t>
        </is>
      </c>
      <c r="E18" s="4" t="inlineStr">
        <is>
          <t>ヒープに対する追加分の見込。0.15は15%。実測はNMTのGCとネイティブ。</t>
        </is>
      </c>
    </row>
    <row r="19" ht="32" customHeight="1">
      <c r="A19" s="8" t="inlineStr">
        <is>
          <t>入力</t>
        </is>
      </c>
      <c r="B19" s="4" t="inlineStr">
        <is>
          <t>OSとページキャッシュに残す量</t>
        </is>
      </c>
      <c r="C19" s="9" t="n">
        <v>2</v>
      </c>
      <c r="D19" s="10" t="inlineStr">
        <is>
          <t>GiB</t>
        </is>
      </c>
      <c r="E19" s="4" t="inlineStr">
        <is>
          <t>カーネル、監視、JARのキャッシュ、ログに残したい余裕。</t>
        </is>
      </c>
    </row>
    <row r="20" ht="22" customHeight="1">
      <c r="A20" s="12" t="inlineStr">
        <is>
          <t>結果</t>
        </is>
      </c>
      <c r="B20" s="13" t="inlineStr">
        <is>
          <t>入力から計算する。ここは編集しない。</t>
        </is>
      </c>
      <c r="C20" s="14" t="n"/>
      <c r="D20" s="14" t="n"/>
      <c r="E20" s="15" t="n"/>
    </row>
    <row r="21" ht="38" customHeight="1">
      <c r="A21" s="8" t="inlineStr">
        <is>
          <t>計算</t>
        </is>
      </c>
      <c r="B21" s="16" t="inlineStr">
        <is>
          <t>物理コア数</t>
        </is>
      </c>
      <c r="C21" s="17">
        <f>IF(C7=0,"",C5/C7)</f>
        <v/>
      </c>
      <c r="D21" s="18" t="inlineStr">
        <is>
          <t>個</t>
        </is>
      </c>
      <c r="E21" s="4" t="inlineStr">
        <is>
          <t>vCPU ÷ 1コアあたりのスレッド数。SMTの有無で机の実体が変わる。</t>
        </is>
      </c>
    </row>
    <row r="22" ht="30" customHeight="1">
      <c r="A22" s="8" t="inlineStr">
        <is>
          <t>計算</t>
        </is>
      </c>
      <c r="B22" s="16" t="inlineStr">
        <is>
          <t>JVM本数</t>
        </is>
      </c>
      <c r="C22" s="17">
        <f>1+C11</f>
        <v/>
      </c>
      <c r="D22" s="18" t="inlineStr">
        <is>
          <t>本</t>
        </is>
      </c>
      <c r="E22" s="4" t="inlineStr">
        <is>
          <t>親1＋同時の子。jspawnhelper は含めない。</t>
        </is>
      </c>
    </row>
    <row r="23" ht="38" customHeight="1">
      <c r="A23" s="8" t="inlineStr">
        <is>
          <t>計算</t>
        </is>
      </c>
      <c r="B23" s="16" t="inlineStr">
        <is>
          <t>ヒープ合計</t>
        </is>
      </c>
      <c r="C23" s="17">
        <f>(C9+C10*C11)/1024</f>
        <v/>
      </c>
      <c r="D23" s="18" t="inlineStr">
        <is>
          <t>GiB</t>
        </is>
      </c>
      <c r="E23" s="4" t="inlineStr">
        <is>
          <t>親と子の -Xmx の合計。上限の足し算であり、その瞬間のRSSではない。</t>
        </is>
      </c>
    </row>
    <row r="24" ht="30" customHeight="1">
      <c r="A24" s="8" t="inlineStr">
        <is>
          <t>計算</t>
        </is>
      </c>
      <c r="B24" s="16" t="inlineStr">
        <is>
          <t>スタック合計</t>
        </is>
      </c>
      <c r="C24" s="17">
        <f>(C12+C13*C11)*C14/1024/1024</f>
        <v/>
      </c>
      <c r="D24" s="18" t="inlineStr">
        <is>
          <t>GiB</t>
        </is>
      </c>
      <c r="E24" s="4" t="inlineStr">
        <is>
          <t>見込スレッド数 × スタックサイズ。</t>
        </is>
      </c>
    </row>
    <row r="25" ht="30" customHeight="1">
      <c r="A25" s="8" t="inlineStr">
        <is>
          <t>計算</t>
        </is>
      </c>
      <c r="B25" s="16" t="inlineStr">
        <is>
          <t>メタスペース合計</t>
        </is>
      </c>
      <c r="C25" s="17">
        <f>C15*C22/1024</f>
        <v/>
      </c>
      <c r="D25" s="18" t="inlineStr">
        <is>
          <t>GiB</t>
        </is>
      </c>
      <c r="E25" s="4" t="inlineStr">
        <is>
          <t>JVM本数ぶん。子の終了で子の分は返る。親の分は残る。</t>
        </is>
      </c>
    </row>
    <row r="26" ht="30" customHeight="1">
      <c r="A26" s="8" t="inlineStr">
        <is>
          <t>計算</t>
        </is>
      </c>
      <c r="B26" s="16" t="inlineStr">
        <is>
          <t>コードキャッシュ合計</t>
        </is>
      </c>
      <c r="C26" s="17">
        <f>C16*C22/1024</f>
        <v/>
      </c>
      <c r="D26" s="18" t="inlineStr">
        <is>
          <t>GiB</t>
        </is>
      </c>
      <c r="E26" s="4" t="inlineStr">
        <is>
          <t>実使用の見込。予約サイズの240MiB×本数ではない。</t>
        </is>
      </c>
    </row>
    <row r="27" ht="30" customHeight="1">
      <c r="A27" s="8" t="inlineStr">
        <is>
          <t>計算</t>
        </is>
      </c>
      <c r="B27" s="16" t="inlineStr">
        <is>
          <t>ダイレクトバッファ合計</t>
        </is>
      </c>
      <c r="C27" s="17">
        <f>C17*C22/1024</f>
        <v/>
      </c>
      <c r="D27" s="18" t="inlineStr">
        <is>
          <t>GiB</t>
        </is>
      </c>
      <c r="E27" s="4" t="inlineStr">
        <is>
          <t>使った分の見込。上限まで必ず使うわけではない。</t>
        </is>
      </c>
    </row>
    <row r="28" ht="30" customHeight="1">
      <c r="A28" s="8" t="inlineStr">
        <is>
          <t>計算</t>
        </is>
      </c>
      <c r="B28" s="16" t="inlineStr">
        <is>
          <t>G1とglibcの追加</t>
        </is>
      </c>
      <c r="C28" s="17">
        <f>C23*C18</f>
        <v/>
      </c>
      <c r="D28" s="18" t="inlineStr">
        <is>
          <t>GiB</t>
        </is>
      </c>
      <c r="E28" s="4" t="inlineStr">
        <is>
          <t>ヒープ合計に割合を掛けた見込。</t>
        </is>
      </c>
    </row>
    <row r="29" ht="30" customHeight="1">
      <c r="A29" s="8" t="inlineStr">
        <is>
          <t>計算</t>
        </is>
      </c>
      <c r="B29" s="16" t="inlineStr">
        <is>
          <t>推定居住量</t>
        </is>
      </c>
      <c r="C29" s="17">
        <f>C23+C24+C25+C26+C27+C28</f>
        <v/>
      </c>
      <c r="D29" s="18" t="inlineStr">
        <is>
          <t>GiB</t>
        </is>
      </c>
      <c r="E29" s="4" t="inlineStr">
        <is>
          <t>私有メモリの下絵。共有ライブラリの二重計上は含めていない。</t>
        </is>
      </c>
    </row>
    <row r="30" ht="38" customHeight="1">
      <c r="A30" s="8" t="inlineStr">
        <is>
          <t>計算</t>
        </is>
      </c>
      <c r="B30" s="16" t="inlineStr">
        <is>
          <t>余り</t>
        </is>
      </c>
      <c r="C30" s="17">
        <f>C6-C29-C19</f>
        <v/>
      </c>
      <c r="D30" s="18" t="inlineStr">
        <is>
          <t>GiB</t>
        </is>
      </c>
      <c r="E30" s="4" t="inlineStr">
        <is>
          <t>物理メモリから推定居住量とOS予約を引いた値。負なら見積もりがロッカーを超える。</t>
        </is>
      </c>
    </row>
    <row r="31" ht="30" customHeight="1">
      <c r="A31" s="8" t="inlineStr">
        <is>
          <t>計算</t>
        </is>
      </c>
      <c r="B31" s="16" t="inlineStr">
        <is>
          <t>1JVMのParallel GCワーカー</t>
        </is>
      </c>
      <c r="C31" s="17">
        <f>IF(C8&lt;=8,C8,8+INT(MAX(0,C8-8)*5/8))</f>
        <v/>
      </c>
      <c r="D31" s="18" t="inlineStr">
        <is>
          <t>本</t>
        </is>
      </c>
      <c r="E31" s="4" t="inlineStr">
        <is>
          <t>G1の既定。整数の割り算。見えているCPU数から決まる。</t>
        </is>
      </c>
    </row>
    <row r="32" ht="30" customHeight="1">
      <c r="A32" s="8" t="inlineStr">
        <is>
          <t>計算</t>
        </is>
      </c>
      <c r="B32" s="16" t="inlineStr">
        <is>
          <t>1JVMのConc GCスレッド</t>
        </is>
      </c>
      <c r="C32" s="17">
        <f>MAX(1,INT((C31+2)/4))</f>
        <v/>
      </c>
      <c r="D32" s="18" t="inlineStr">
        <is>
          <t>本</t>
        </is>
      </c>
      <c r="E32" s="4" t="inlineStr">
        <is>
          <t>(ParallelGCThreads+2)/4 と 1 の大きいほう。</t>
        </is>
      </c>
    </row>
    <row r="33" ht="38" customHeight="1">
      <c r="A33" s="8" t="inlineStr">
        <is>
          <t>計算</t>
        </is>
      </c>
      <c r="B33" s="16" t="inlineStr">
        <is>
          <t>全JVMが同時にYoung GC</t>
        </is>
      </c>
      <c r="C33" s="17">
        <f>C31*C22</f>
        <v/>
      </c>
      <c r="D33" s="18" t="inlineStr">
        <is>
          <t>本</t>
        </is>
      </c>
      <c r="E33" s="4" t="inlineStr">
        <is>
          <t>重なった瞬間の上限。常時この人数が走っているという意味ではない。</t>
        </is>
      </c>
    </row>
    <row r="34" ht="30" customHeight="1">
      <c r="A34" s="8" t="inlineStr">
        <is>
          <t>計算</t>
        </is>
      </c>
      <c r="B34" s="16" t="inlineStr">
        <is>
          <t>GCワーカー ÷ vCPU</t>
        </is>
      </c>
      <c r="C34" s="17">
        <f>IF(C5=0,"",C33/C5)</f>
        <v/>
      </c>
      <c r="D34" s="18" t="inlineStr">
        <is>
          <t>倍</t>
        </is>
      </c>
      <c r="E34" s="4" t="inlineStr">
        <is>
          <t>1を超えると、GCが重なったとき机が足りない。</t>
        </is>
      </c>
    </row>
    <row r="35" ht="38" customHeight="1">
      <c r="A35" s="8" t="inlineStr">
        <is>
          <t>計算</t>
        </is>
      </c>
      <c r="B35" s="16" t="inlineStr">
        <is>
          <t>commonPoolのワーカー/JVM</t>
        </is>
      </c>
      <c r="C35" s="17">
        <f>MAX(1,C8-1)</f>
        <v/>
      </c>
      <c r="D35" s="18" t="inlineStr">
        <is>
          <t>本</t>
        </is>
      </c>
      <c r="E35" s="4" t="inlineStr">
        <is>
          <t>parallelStream等を使ったとき。使っていなければスレッドダンプに出ない。</t>
        </is>
      </c>
    </row>
    <row r="36" ht="30" customHeight="1">
      <c r="A36" s="8" t="inlineStr">
        <is>
          <t>計算</t>
        </is>
      </c>
      <c r="B36" s="16" t="inlineStr">
        <is>
          <t>子のcommonPool合計</t>
        </is>
      </c>
      <c r="C36" s="17">
        <f>C35*C11</f>
        <v/>
      </c>
      <c r="D36" s="18" t="inlineStr">
        <is>
          <t>本</t>
        </is>
      </c>
      <c r="E36" s="4" t="inlineStr">
        <is>
          <t>子だけ。親が同じプールを使えば、さらに1JVM分が足される。</t>
        </is>
      </c>
    </row>
    <row r="37" ht="38" customHeight="1">
      <c r="A37" s="8" t="inlineStr">
        <is>
          <t>計算</t>
        </is>
      </c>
      <c r="B37" s="16" t="inlineStr">
        <is>
          <t>スレッド数の見込合計</t>
        </is>
      </c>
      <c r="C37" s="17">
        <f>C12+C13*C11</f>
        <v/>
      </c>
      <c r="D37" s="18" t="inlineStr">
        <is>
          <t>本</t>
        </is>
      </c>
      <c r="E37" s="4" t="inlineStr">
        <is>
          <t>ulimit -u と pids.max と並べる。寝ているスレッドはロードに入らない。</t>
        </is>
      </c>
    </row>
    <row r="38"/>
    <row r="39" ht="28" customHeight="1">
      <c r="A39" s="3" t="inlineStr">
        <is>
          <t>判定</t>
        </is>
      </c>
      <c r="B39" s="19" t="inlineStr">
        <is>
          <t>メモリの見積もり</t>
        </is>
      </c>
      <c r="C39" s="20">
        <f>IF(C30&lt;0,"見積もりが物理メモリを超えています",IF(C30&lt;2,"余りが2GiB未満です","見積もりのうえでは収まります"))</f>
        <v/>
      </c>
      <c r="D39" s="20" t="n"/>
      <c r="E39" s="20" t="n"/>
    </row>
    <row r="40" ht="28" customHeight="1">
      <c r="A40" s="3" t="inlineStr">
        <is>
          <t>判定</t>
        </is>
      </c>
      <c r="B40" s="19" t="inlineStr">
        <is>
          <t>GCが重なったとき</t>
        </is>
      </c>
      <c r="C40" s="20">
        <f>IF(C34&gt;2,"GCワーカーだけでvCPUの2倍を超えます",IF(C34&gt;1,"GCワーカーがvCPU数を超えます","GCワーカーの合計はvCPU以内です"))</f>
        <v/>
      </c>
      <c r="D40" s="20" t="n"/>
      <c r="E40" s="20" t="n"/>
    </row>
    <row r="41" ht="40" customHeight="1">
      <c r="A41" s="3" t="inlineStr">
        <is>
          <t>判定</t>
        </is>
      </c>
      <c r="B41" s="19" t="inlineStr">
        <is>
          <t>圧縮OOPの境界</t>
        </is>
      </c>
      <c r="C41" s="21">
        <f>IF(C10&gt;=32768,"子のヒープが32GiB以上です。UseCompressedOopsの実効値を確認します","子ヒープは32GiB未満の入力です。境界はJVMごとに判定します")</f>
        <v/>
      </c>
      <c r="D41" s="21" t="n"/>
      <c r="E41" s="21" t="n"/>
    </row>
    <row r="42"/>
    <row r="43" ht="36" customHeight="1">
      <c r="A43" s="3" t="inlineStr">
        <is>
          <t>検算</t>
        </is>
      </c>
      <c r="B43" s="22" t="inlineStr">
        <is>
          <t>見本の検算</t>
        </is>
      </c>
      <c r="C43" s="20">
        <f>IF(AND(C5=8,C6=16,C7=1,C8=8,C9=512,C10=1024,C11=10,C12=40,C13=60,C14=1024,C15=96,C16=48,C17=32,ABS(C18-0.15)&lt;0.0001,C19=2,ABS(C29-14.590625)&lt;0.0001,ABS(C30+0.590625)&lt;0.0001,C33=88),"文書の見本と一致","入力が見本から変わっているか、式がずれています")</f>
        <v/>
      </c>
      <c r="D43" s="20" t="n"/>
      <c r="E43" s="20" t="n"/>
    </row>
  </sheetData>
  <mergeCells count="7">
    <mergeCell ref="C41:E41"/>
    <mergeCell ref="A2:E2"/>
    <mergeCell ref="C39:E39"/>
    <mergeCell ref="C40:E40"/>
    <mergeCell ref="A1:E1"/>
    <mergeCell ref="B20:E20"/>
    <mergeCell ref="C43:E43"/>
  </mergeCells>
  <dataValidations count="2">
    <dataValidation sqref="C5:C17 C19" showDropDown="0" showInputMessage="0" showErrorMessage="0" allowBlank="0" errorTitle="入力" error="0より大きい数を入れます" type="decimal" operator="greaterThan">
      <formula1>0</formula1>
    </dataValidation>
    <dataValidation sqref="C18" showDropDown="0" showInputMessage="0" showErrorMessage="0" allowBlank="0" type="decimal" operator="between">
      <formula1>0</formula1>
      <formula2>1</formula2>
    </dataValidation>
  </dataValidations>
  <printOptions horizontalCentered="1"/>
  <pageMargins left="0.45" right="0.45" top="0.7" bottom="0.55" header="0.26" footer="0.26"/>
  <pageSetup orientation="landscape" paperSize="8" scale="70" fitToHeight="0" fitToWidth="1" horizontalDpi="300" verticalDpi="300"/>
  <headerFooter>
    <oddHeader>&amp;L&amp;"Meiryo UI"&amp;9親子JVMのプロセス・メモリ・vCPU&amp;R&amp;"Meiryo UI"&amp;9確認日 2026-10-14</oddHeader>
    <oddFooter>&amp;L&amp;"Meiryo UI"&amp;8見本の数字は仮の値。実測は対象サーバで採取する。&amp;C&amp;"Meiryo UI"&amp;9計算&amp;R&amp;"Meiryo UI"&amp;9&amp;P /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5C5C5C"/>
    <outlinePr summaryBelow="1" summaryRight="1"/>
    <pageSetUpPr fitToPage="1"/>
  </sheetPr>
  <dimension ref="A1:K24"/>
  <sheetViews>
    <sheetView showGridLines="0" view="normal" zoomScale="100" workbookViewId="0">
      <pane ySplit="4" topLeftCell="A5" activePane="bottomLeft" state="frozen"/>
      <selection pane="bottomLeft" activeCell="A1" sqref="A1"/>
    </sheetView>
  </sheetViews>
  <sheetFormatPr baseColWidth="8" defaultColWidth="3" defaultRowHeight="18"/>
  <cols>
    <col width="14" customWidth="1" min="1" max="1"/>
    <col width="14" customWidth="1" min="2" max="2"/>
    <col width="16" customWidth="1" min="3" max="3"/>
    <col width="16" customWidth="1" min="4" max="4"/>
    <col width="18" customWidth="1" min="5" max="5"/>
    <col width="16" customWidth="1" min="6" max="6"/>
    <col width="24" customWidth="1" min="7" max="7"/>
    <col width="14" customWidth="1" min="8" max="8"/>
    <col width="20" customWidth="1" min="9" max="9"/>
    <col width="16" customWidth="1" min="10" max="10"/>
    <col width="18" customWidth="1" min="11" max="11"/>
    <col width="3" customWidth="1" min="12" max="12"/>
    <col width="3" customWidth="1" min="13" max="13"/>
    <col width="3" customWidth="1" min="14" max="14"/>
    <col width="3" customWidth="1" min="15" max="15"/>
  </cols>
  <sheetData>
    <row r="1" ht="32" customHeight="1">
      <c r="A1" s="6" t="inlineStr">
        <is>
          <t>同時本数と、見えるCPU数の感度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</row>
    <row r="2" ht="38" customHeight="1">
      <c r="A2" s="7" t="inlineStr">
        <is>
          <t>値はシート「計算」の太枠を参照する。ここには入力欄は無い。見本の初期値のままなら、子10本の行の推定居住量は14.591GiB、余りは-0.591GiB、Young GCワーカーは88になる。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</row>
    <row r="3"/>
    <row r="4" ht="36" customHeight="1">
      <c r="A4" s="23" t="inlineStr">
        <is>
          <t>同時の子</t>
        </is>
      </c>
      <c r="B4" s="23" t="inlineStr">
        <is>
          <t>JVM本数</t>
        </is>
      </c>
      <c r="C4" s="23" t="inlineStr">
        <is>
          <t>ヒープGiB</t>
        </is>
      </c>
      <c r="D4" s="23" t="inlineStr">
        <is>
          <t>スタックGiB</t>
        </is>
      </c>
      <c r="E4" s="23" t="inlineStr">
        <is>
          <t>推定居住GiB</t>
        </is>
      </c>
      <c r="F4" s="23" t="inlineStr">
        <is>
          <t>余りGiB</t>
        </is>
      </c>
      <c r="G4" s="23" t="inlineStr">
        <is>
          <t>同時YoungGCワーカー</t>
        </is>
      </c>
      <c r="H4" s="23" t="inlineStr">
        <is>
          <t>vCPU比</t>
        </is>
      </c>
      <c r="I4" s="23" t="inlineStr">
        <is>
          <t>commonPool子合計</t>
        </is>
      </c>
      <c r="J4" s="23" t="inlineStr">
        <is>
          <t>スレッド見込</t>
        </is>
      </c>
      <c r="K4" s="23" t="inlineStr">
        <is>
          <t>メモリ判定</t>
        </is>
      </c>
    </row>
    <row r="5" ht="24" customHeight="1">
      <c r="A5" s="24" t="n">
        <v>1</v>
      </c>
      <c r="B5" s="25">
        <f>1+A5</f>
        <v/>
      </c>
      <c r="C5" s="26">
        <f>('計算'!$C$9+'計算'!$C$10*A5)/1024</f>
        <v/>
      </c>
      <c r="D5" s="26">
        <f>('計算'!$C$12+'計算'!$C$13*A5)*'計算'!$C$14/1024/1024</f>
        <v/>
      </c>
      <c r="E5" s="26">
        <f>C5+D5+'計算'!$C$15*B5/1024+'計算'!$C$16*B5/1024+'計算'!$C$17*B5/1024+C5*'計算'!$C$18</f>
        <v/>
      </c>
      <c r="F5" s="26">
        <f>'計算'!$C$6-E5-'計算'!$C$19</f>
        <v/>
      </c>
      <c r="G5" s="25">
        <f>'計算'!$C$31*B5</f>
        <v/>
      </c>
      <c r="H5" s="26">
        <f>IF('計算'!$C$5=0,"",G5/'計算'!$C$5)</f>
        <v/>
      </c>
      <c r="I5" s="25">
        <f>'計算'!$C$35*A5</f>
        <v/>
      </c>
      <c r="J5" s="25">
        <f>'計算'!$C$12+'計算'!$C$13*A5</f>
        <v/>
      </c>
      <c r="K5" s="27">
        <f>IF(F5&lt;0,"見積もりが超える",IF(F5&lt;2,"余りが小さい","見積もりでは収まる"))</f>
        <v/>
      </c>
    </row>
    <row r="6" ht="24" customHeight="1">
      <c r="A6" s="24" t="n">
        <v>2</v>
      </c>
      <c r="B6" s="28">
        <f>1+A6</f>
        <v/>
      </c>
      <c r="C6" s="29">
        <f>('計算'!$C$9+'計算'!$C$10*A6)/1024</f>
        <v/>
      </c>
      <c r="D6" s="29">
        <f>('計算'!$C$12+'計算'!$C$13*A6)*'計算'!$C$14/1024/1024</f>
        <v/>
      </c>
      <c r="E6" s="29">
        <f>C6+D6+'計算'!$C$15*B6/1024+'計算'!$C$16*B6/1024+'計算'!$C$17*B6/1024+C6*'計算'!$C$18</f>
        <v/>
      </c>
      <c r="F6" s="29">
        <f>'計算'!$C$6-E6-'計算'!$C$19</f>
        <v/>
      </c>
      <c r="G6" s="28">
        <f>'計算'!$C$31*B6</f>
        <v/>
      </c>
      <c r="H6" s="29">
        <f>IF('計算'!$C$5=0,"",G6/'計算'!$C$5)</f>
        <v/>
      </c>
      <c r="I6" s="28">
        <f>'計算'!$C$35*A6</f>
        <v/>
      </c>
      <c r="J6" s="28">
        <f>'計算'!$C$12+'計算'!$C$13*A6</f>
        <v/>
      </c>
      <c r="K6" s="30">
        <f>IF(F6&lt;0,"見積もりが超える",IF(F6&lt;2,"余りが小さい","見積もりでは収まる"))</f>
        <v/>
      </c>
    </row>
    <row r="7" ht="24" customHeight="1">
      <c r="A7" s="24" t="n">
        <v>4</v>
      </c>
      <c r="B7" s="25">
        <f>1+A7</f>
        <v/>
      </c>
      <c r="C7" s="26">
        <f>('計算'!$C$9+'計算'!$C$10*A7)/1024</f>
        <v/>
      </c>
      <c r="D7" s="26">
        <f>('計算'!$C$12+'計算'!$C$13*A7)*'計算'!$C$14/1024/1024</f>
        <v/>
      </c>
      <c r="E7" s="26">
        <f>C7+D7+'計算'!$C$15*B7/1024+'計算'!$C$16*B7/1024+'計算'!$C$17*B7/1024+C7*'計算'!$C$18</f>
        <v/>
      </c>
      <c r="F7" s="26">
        <f>'計算'!$C$6-E7-'計算'!$C$19</f>
        <v/>
      </c>
      <c r="G7" s="25">
        <f>'計算'!$C$31*B7</f>
        <v/>
      </c>
      <c r="H7" s="26">
        <f>IF('計算'!$C$5=0,"",G7/'計算'!$C$5)</f>
        <v/>
      </c>
      <c r="I7" s="25">
        <f>'計算'!$C$35*A7</f>
        <v/>
      </c>
      <c r="J7" s="25">
        <f>'計算'!$C$12+'計算'!$C$13*A7</f>
        <v/>
      </c>
      <c r="K7" s="27">
        <f>IF(F7&lt;0,"見積もりが超える",IF(F7&lt;2,"余りが小さい","見積もりでは収まる"))</f>
        <v/>
      </c>
    </row>
    <row r="8" ht="24" customHeight="1">
      <c r="A8" s="24" t="n">
        <v>8</v>
      </c>
      <c r="B8" s="28">
        <f>1+A8</f>
        <v/>
      </c>
      <c r="C8" s="29">
        <f>('計算'!$C$9+'計算'!$C$10*A8)/1024</f>
        <v/>
      </c>
      <c r="D8" s="29">
        <f>('計算'!$C$12+'計算'!$C$13*A8)*'計算'!$C$14/1024/1024</f>
        <v/>
      </c>
      <c r="E8" s="29">
        <f>C8+D8+'計算'!$C$15*B8/1024+'計算'!$C$16*B8/1024+'計算'!$C$17*B8/1024+C8*'計算'!$C$18</f>
        <v/>
      </c>
      <c r="F8" s="29">
        <f>'計算'!$C$6-E8-'計算'!$C$19</f>
        <v/>
      </c>
      <c r="G8" s="28">
        <f>'計算'!$C$31*B8</f>
        <v/>
      </c>
      <c r="H8" s="29">
        <f>IF('計算'!$C$5=0,"",G8/'計算'!$C$5)</f>
        <v/>
      </c>
      <c r="I8" s="28">
        <f>'計算'!$C$35*A8</f>
        <v/>
      </c>
      <c r="J8" s="28">
        <f>'計算'!$C$12+'計算'!$C$13*A8</f>
        <v/>
      </c>
      <c r="K8" s="30">
        <f>IF(F8&lt;0,"見積もりが超える",IF(F8&lt;2,"余りが小さい","見積もりでは収まる"))</f>
        <v/>
      </c>
    </row>
    <row r="9" ht="24" customHeight="1">
      <c r="A9" s="24" t="n">
        <v>10</v>
      </c>
      <c r="B9" s="25">
        <f>1+A9</f>
        <v/>
      </c>
      <c r="C9" s="26">
        <f>('計算'!$C$9+'計算'!$C$10*A9)/1024</f>
        <v/>
      </c>
      <c r="D9" s="26">
        <f>('計算'!$C$12+'計算'!$C$13*A9)*'計算'!$C$14/1024/1024</f>
        <v/>
      </c>
      <c r="E9" s="26">
        <f>C9+D9+'計算'!$C$15*B9/1024+'計算'!$C$16*B9/1024+'計算'!$C$17*B9/1024+C9*'計算'!$C$18</f>
        <v/>
      </c>
      <c r="F9" s="26">
        <f>'計算'!$C$6-E9-'計算'!$C$19</f>
        <v/>
      </c>
      <c r="G9" s="25">
        <f>'計算'!$C$31*B9</f>
        <v/>
      </c>
      <c r="H9" s="26">
        <f>IF('計算'!$C$5=0,"",G9/'計算'!$C$5)</f>
        <v/>
      </c>
      <c r="I9" s="25">
        <f>'計算'!$C$35*A9</f>
        <v/>
      </c>
      <c r="J9" s="25">
        <f>'計算'!$C$12+'計算'!$C$13*A9</f>
        <v/>
      </c>
      <c r="K9" s="27">
        <f>IF(F9&lt;0,"見積もりが超える",IF(F9&lt;2,"余りが小さい","見積もりでは収まる"))</f>
        <v/>
      </c>
    </row>
    <row r="10" ht="24" customHeight="1">
      <c r="A10" s="24" t="n">
        <v>12</v>
      </c>
      <c r="B10" s="28">
        <f>1+A10</f>
        <v/>
      </c>
      <c r="C10" s="29">
        <f>('計算'!$C$9+'計算'!$C$10*A10)/1024</f>
        <v/>
      </c>
      <c r="D10" s="29">
        <f>('計算'!$C$12+'計算'!$C$13*A10)*'計算'!$C$14/1024/1024</f>
        <v/>
      </c>
      <c r="E10" s="29">
        <f>C10+D10+'計算'!$C$15*B10/1024+'計算'!$C$16*B10/1024+'計算'!$C$17*B10/1024+C10*'計算'!$C$18</f>
        <v/>
      </c>
      <c r="F10" s="29">
        <f>'計算'!$C$6-E10-'計算'!$C$19</f>
        <v/>
      </c>
      <c r="G10" s="28">
        <f>'計算'!$C$31*B10</f>
        <v/>
      </c>
      <c r="H10" s="29">
        <f>IF('計算'!$C$5=0,"",G10/'計算'!$C$5)</f>
        <v/>
      </c>
      <c r="I10" s="28">
        <f>'計算'!$C$35*A10</f>
        <v/>
      </c>
      <c r="J10" s="28">
        <f>'計算'!$C$12+'計算'!$C$13*A10</f>
        <v/>
      </c>
      <c r="K10" s="30">
        <f>IF(F10&lt;0,"見積もりが超える",IF(F10&lt;2,"余りが小さい","見積もりでは収まる"))</f>
        <v/>
      </c>
    </row>
    <row r="11" ht="24" customHeight="1">
      <c r="A11" s="24" t="n">
        <v>16</v>
      </c>
      <c r="B11" s="25">
        <f>1+A11</f>
        <v/>
      </c>
      <c r="C11" s="26">
        <f>('計算'!$C$9+'計算'!$C$10*A11)/1024</f>
        <v/>
      </c>
      <c r="D11" s="26">
        <f>('計算'!$C$12+'計算'!$C$13*A11)*'計算'!$C$14/1024/1024</f>
        <v/>
      </c>
      <c r="E11" s="26">
        <f>C11+D11+'計算'!$C$15*B11/1024+'計算'!$C$16*B11/1024+'計算'!$C$17*B11/1024+C11*'計算'!$C$18</f>
        <v/>
      </c>
      <c r="F11" s="26">
        <f>'計算'!$C$6-E11-'計算'!$C$19</f>
        <v/>
      </c>
      <c r="G11" s="25">
        <f>'計算'!$C$31*B11</f>
        <v/>
      </c>
      <c r="H11" s="26">
        <f>IF('計算'!$C$5=0,"",G11/'計算'!$C$5)</f>
        <v/>
      </c>
      <c r="I11" s="25">
        <f>'計算'!$C$35*A11</f>
        <v/>
      </c>
      <c r="J11" s="25">
        <f>'計算'!$C$12+'計算'!$C$13*A11</f>
        <v/>
      </c>
      <c r="K11" s="27">
        <f>IF(F11&lt;0,"見積もりが超える",IF(F11&lt;2,"余りが小さい","見積もりでは収まる"))</f>
        <v/>
      </c>
    </row>
    <row r="12"/>
    <row r="13" ht="38" customHeight="1">
      <c r="A13" s="7" t="inlineStr">
        <is>
          <t>同時の子の列は、この表の中だけ変えられる。ヒープやvCPUを変えるときはシート「計算」の太枠を変える。GCワーカーは、見えているCPU数から決めた1JVMあたりの人数に、親を含むJVM本数を掛けたもの。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/>
    <row r="15" ht="32" customHeight="1">
      <c r="A15" s="23" t="inlineStr">
        <is>
          <t>見えるCPU</t>
        </is>
      </c>
      <c r="B15" s="23" t="inlineStr">
        <is>
          <t>Parallel/JVM</t>
        </is>
      </c>
      <c r="C15" s="23" t="inlineStr">
        <is>
          <t>Conc/JVM</t>
        </is>
      </c>
      <c r="D15" s="23" t="inlineStr">
        <is>
          <t>全JVM同時のYoungGC</t>
        </is>
      </c>
      <c r="E15" s="23" t="inlineStr">
        <is>
          <t>そのCPU数に対する倍率</t>
        </is>
      </c>
    </row>
    <row r="16" ht="24" customHeight="1">
      <c r="A16" s="24" t="n">
        <v>2</v>
      </c>
      <c r="B16" s="25">
        <f>IF(A16&lt;=8,A16,8+INT(MAX(0,A16-8)*5/8))</f>
        <v/>
      </c>
      <c r="C16" s="25">
        <f>MAX(1,INT((B16+2)/4))</f>
        <v/>
      </c>
      <c r="D16" s="25">
        <f>B16*(1+'計算'!$C$11)</f>
        <v/>
      </c>
      <c r="E16" s="31">
        <f>IF(A16=0,"",D16/A16)</f>
        <v/>
      </c>
    </row>
    <row r="17" ht="24" customHeight="1">
      <c r="A17" s="24" t="n">
        <v>4</v>
      </c>
      <c r="B17" s="28">
        <f>IF(A17&lt;=8,A17,8+INT(MAX(0,A17-8)*5/8))</f>
        <v/>
      </c>
      <c r="C17" s="28">
        <f>MAX(1,INT((B17+2)/4))</f>
        <v/>
      </c>
      <c r="D17" s="28">
        <f>B17*(1+'計算'!$C$11)</f>
        <v/>
      </c>
      <c r="E17" s="32">
        <f>IF(A17=0,"",D17/A17)</f>
        <v/>
      </c>
    </row>
    <row r="18" ht="24" customHeight="1">
      <c r="A18" s="24" t="n">
        <v>8</v>
      </c>
      <c r="B18" s="25">
        <f>IF(A18&lt;=8,A18,8+INT(MAX(0,A18-8)*5/8))</f>
        <v/>
      </c>
      <c r="C18" s="25">
        <f>MAX(1,INT((B18+2)/4))</f>
        <v/>
      </c>
      <c r="D18" s="25">
        <f>B18*(1+'計算'!$C$11)</f>
        <v/>
      </c>
      <c r="E18" s="31">
        <f>IF(A18=0,"",D18/A18)</f>
        <v/>
      </c>
    </row>
    <row r="19" ht="24" customHeight="1">
      <c r="A19" s="24" t="n">
        <v>10</v>
      </c>
      <c r="B19" s="28">
        <f>IF(A19&lt;=8,A19,8+INT(MAX(0,A19-8)*5/8))</f>
        <v/>
      </c>
      <c r="C19" s="28">
        <f>MAX(1,INT((B19+2)/4))</f>
        <v/>
      </c>
      <c r="D19" s="28">
        <f>B19*(1+'計算'!$C$11)</f>
        <v/>
      </c>
      <c r="E19" s="32">
        <f>IF(A19=0,"",D19/A19)</f>
        <v/>
      </c>
    </row>
    <row r="20" ht="24" customHeight="1">
      <c r="A20" s="24" t="n">
        <v>16</v>
      </c>
      <c r="B20" s="25">
        <f>IF(A20&lt;=8,A20,8+INT(MAX(0,A20-8)*5/8))</f>
        <v/>
      </c>
      <c r="C20" s="25">
        <f>MAX(1,INT((B20+2)/4))</f>
        <v/>
      </c>
      <c r="D20" s="25">
        <f>B20*(1+'計算'!$C$11)</f>
        <v/>
      </c>
      <c r="E20" s="31">
        <f>IF(A20=0,"",D20/A20)</f>
        <v/>
      </c>
    </row>
    <row r="21" ht="24" customHeight="1">
      <c r="A21" s="24" t="n">
        <v>32</v>
      </c>
      <c r="B21" s="28">
        <f>IF(A21&lt;=8,A21,8+INT(MAX(0,A21-8)*5/8))</f>
        <v/>
      </c>
      <c r="C21" s="28">
        <f>MAX(1,INT((B21+2)/4))</f>
        <v/>
      </c>
      <c r="D21" s="28">
        <f>B21*(1+'計算'!$C$11)</f>
        <v/>
      </c>
      <c r="E21" s="32">
        <f>IF(A21=0,"",D21/A21)</f>
        <v/>
      </c>
    </row>
    <row r="22" ht="24" customHeight="1">
      <c r="A22" s="24" t="n">
        <v>64</v>
      </c>
      <c r="B22" s="25">
        <f>IF(A22&lt;=8,A22,8+INT(MAX(0,A22-8)*5/8))</f>
        <v/>
      </c>
      <c r="C22" s="25">
        <f>MAX(1,INT((B22+2)/4))</f>
        <v/>
      </c>
      <c r="D22" s="25">
        <f>B22*(1+'計算'!$C$11)</f>
        <v/>
      </c>
      <c r="E22" s="31">
        <f>IF(A22=0,"",D22/A22)</f>
        <v/>
      </c>
    </row>
    <row r="23"/>
    <row r="24" ht="38" customHeight="1">
      <c r="A24" s="7" t="inlineStr">
        <is>
          <t>直前の表の倍率は、その行のCPU数をvCPU数とみなしている。同時の子の本数はシート「計算」の入力を使う。見えるCPUが8で子が10なら、全JVM同時のYoung GCワーカーは88、倍率は11。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</sheetData>
  <autoFilter ref="A4:K11"/>
  <mergeCells count="4">
    <mergeCell ref="A2:K2"/>
    <mergeCell ref="A1:K1"/>
    <mergeCell ref="A24:K24"/>
    <mergeCell ref="A13:K13"/>
  </mergeCells>
  <printOptions horizontalCentered="1"/>
  <pageMargins left="0.45" right="0.45" top="0.7" bottom="0.55" header="0.26" footer="0.26"/>
  <pageSetup orientation="landscape" paperSize="8" scale="70" fitToHeight="0" fitToWidth="1" horizontalDpi="300" verticalDpi="300"/>
  <headerFooter>
    <oddHeader>&amp;L&amp;"Meiryo UI"&amp;9親子JVMのプロセス・メモリ・vCPU&amp;R&amp;"Meiryo UI"&amp;9確認日 2026-10-14</oddHeader>
    <oddFooter>&amp;L&amp;"Meiryo UI"&amp;8見本の数字は仮の値。実測は対象サーバで採取する。&amp;C&amp;"Meiryo UI"&amp;9感度&amp;R&amp;"Meiryo UI"&amp;9&amp;P /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5C5C5C"/>
    <outlinePr summaryBelow="1" summaryRight="1"/>
    <pageSetUpPr fitToPage="1"/>
  </sheetPr>
  <dimension ref="A1:C16"/>
  <sheetViews>
    <sheetView showGridLines="0" view="normal" zoomScale="100" workbookViewId="0">
      <pane ySplit="3" topLeftCell="A4" activePane="bottomLeft" state="frozen"/>
      <selection pane="bottomLeft" activeCell="A1" sqref="A1"/>
    </sheetView>
  </sheetViews>
  <sheetFormatPr baseColWidth="8" defaultColWidth="3" defaultRowHeight="18"/>
  <cols>
    <col width="22" customWidth="1" min="1" max="1"/>
    <col width="55" customWidth="1" min="2" max="2"/>
    <col width="70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</cols>
  <sheetData>
    <row r="1" ht="32" customHeight="1">
      <c r="A1" s="6" t="inlineStr">
        <is>
          <t>JDKとRHEL</t>
        </is>
      </c>
      <c r="B1" s="6" t="n"/>
      <c r="C1" s="6" t="n"/>
    </row>
    <row r="2" ht="36" customHeight="1">
      <c r="A2" s="7" t="inlineStr">
        <is>
          <t>OpenJDK 21とRHEL 9.8の、この構成に効く点。既定と、フラグを付けたときを分けてある。</t>
        </is>
      </c>
      <c r="B2" s="7" t="n"/>
      <c r="C2" s="7" t="n"/>
    </row>
    <row r="3" ht="54" customHeight="1">
      <c r="A3" s="3" t="inlineStr">
        <is>
          <t>点</t>
        </is>
      </c>
      <c r="B3" s="3" t="inlineStr">
        <is>
          <t>既定で起きること</t>
        </is>
      </c>
      <c r="C3" s="3" t="inlineStr">
        <is>
          <t>この構成での意味</t>
        </is>
      </c>
    </row>
    <row r="4" ht="38" customHeight="1">
      <c r="A4" s="4" t="inlineStr">
        <is>
          <t>G1</t>
        </is>
      </c>
      <c r="B4" s="4" t="inlineStr">
        <is>
          <t>既定GC。</t>
        </is>
      </c>
      <c r="C4" s="4" t="inlineStr">
        <is>
          <t>子10本はG1が10個。Young GCは停止型で、ParallelGCThreadsが机を取りにいく。</t>
        </is>
      </c>
    </row>
    <row r="5" ht="38" customHeight="1">
      <c r="A5" s="5" t="inlineStr">
        <is>
          <t>世代別ZGC</t>
        </is>
      </c>
      <c r="B5" s="5" t="inlineStr">
        <is>
          <t>入っている。既定ではない。-XX:+UseZGC -XX:+ZGenerationalのときだけ。</t>
        </is>
      </c>
      <c r="C5" s="5" t="inlineStr">
        <is>
          <t>CPUの常時使用とネイティブメモリの形が変わる。フラグを見てから説明する。</t>
        </is>
      </c>
    </row>
    <row r="6" ht="38" customHeight="1">
      <c r="A6" s="4" t="inlineStr">
        <is>
          <t>仮想スレッド</t>
        </is>
      </c>
      <c r="B6" s="4" t="inlineStr">
        <is>
          <t>JEP 444。アプリが使ったときだけ。</t>
        </is>
      </c>
      <c r="C6" s="4" t="inlineStr">
        <is>
          <t>子の中の待ちは軽くなる。プロセス数とヒープの個数は減らない。</t>
        </is>
      </c>
    </row>
    <row r="7" ht="22" customHeight="1">
      <c r="A7" s="5" t="inlineStr">
        <is>
          <t>CDS</t>
        </is>
      </c>
      <c r="B7" s="5" t="inlineStr">
        <is>
          <t>-Xshare:auto。アーカイブが一致すれば共有。</t>
        </is>
      </c>
      <c r="C7" s="5" t="inlineStr">
        <is>
          <t>失敗しても起動は続く。ログで成否を残す。</t>
        </is>
      </c>
    </row>
    <row r="8" ht="22" customHeight="1">
      <c r="A8" s="4" t="inlineStr">
        <is>
          <t>posix_spawn</t>
        </is>
      </c>
      <c r="B8" s="4" t="inlineStr">
        <is>
          <t>Linuxの既定の子起動。</t>
        </is>
      </c>
      <c r="C8" s="4" t="inlineStr">
        <is>
          <t>大きい親からの起動で、fork時代の予約失敗を避ける。</t>
        </is>
      </c>
    </row>
    <row r="9" ht="38" customHeight="1">
      <c r="A9" s="5" t="inlineStr">
        <is>
          <t>cgroup v2</t>
        </is>
      </c>
      <c r="B9" s="5" t="inlineStr">
        <is>
          <t>上限があれば分母になる。無制限ならインスタンス全体。</t>
        </is>
      </c>
      <c r="C9" s="5" t="inlineStr">
        <is>
          <t>CPUQuotaとMemoryMaxの有無をユニット定義で残す。</t>
        </is>
      </c>
    </row>
    <row r="10" ht="22" customHeight="1">
      <c r="A10" s="4" t="inlineStr">
        <is>
          <t>NMTとJFR</t>
        </is>
      </c>
      <c r="B10" s="4" t="inlineStr">
        <is>
          <t>OpenJDKに含まれる。NMTは起動フラグが必要。</t>
        </is>
      </c>
      <c r="C10" s="4" t="inlineStr">
        <is>
          <t>JFRをピークに長く重ねると、それ自身が負荷になる。</t>
        </is>
      </c>
    </row>
    <row r="11" ht="22" customHeight="1">
      <c r="A11" s="5" t="inlineStr">
        <is>
          <t>カーネル5.14系</t>
        </is>
      </c>
      <c r="B11" s="5" t="inlineStr">
        <is>
          <t>RHEL 9の系。9.8 GAは5.14.0-687.5.1.el9_8。</t>
        </is>
      </c>
      <c r="C11" s="5" t="inlineStr">
        <is>
          <t>PSIとsmaps_rollupが使える。正確な版はuname -r。</t>
        </is>
      </c>
    </row>
    <row r="12" ht="22" customHeight="1">
      <c r="A12" s="4" t="inlineStr">
        <is>
          <t>glibc 2.34</t>
        </is>
      </c>
      <c r="B12" s="4" t="inlineStr">
        <is>
          <t>RHEL 9の系。</t>
        </is>
      </c>
      <c r="C12" s="4" t="inlineStr">
        <is>
          <t>posix_spawnの実体はclone(CLONE_VM|CLONE_VFORK)。</t>
        </is>
      </c>
    </row>
    <row r="13" ht="22" customHeight="1">
      <c r="A13" s="5" t="inlineStr">
        <is>
          <t>sysstat 12.5系</t>
        </is>
      </c>
      <c r="B13" s="5" t="inlineStr">
        <is>
          <t>kbmemusedの式が変わったあと。</t>
        </is>
      </c>
      <c r="C13" s="5" t="inlineStr">
        <is>
          <t>RHEL 8の手順書の式を使わない。</t>
        </is>
      </c>
    </row>
    <row r="14" ht="22" customHeight="1">
      <c r="A14" s="4" t="inlineStr">
        <is>
          <t>free</t>
        </is>
      </c>
      <c r="B14" s="4" t="inlineStr">
        <is>
          <t>9.1以降のusedはMemTotal−MemAvailable。</t>
        </is>
      </c>
      <c r="C14" s="4" t="inlineStr">
        <is>
          <t>sarの使用中と並べるときは列名を書く。</t>
        </is>
      </c>
    </row>
    <row r="15" ht="38" customHeight="1">
      <c r="A15" s="5" t="inlineStr">
        <is>
          <t>ヒューモンガス</t>
        </is>
      </c>
      <c r="B15" s="5" t="inlineStr">
        <is>
          <t>G1リージョンの半分以上の巨大配列。</t>
        </is>
      </c>
      <c r="C15" s="5" t="inlineStr">
        <is>
          <t>空きがあるように見えてFull GCへ進むことがある。GCログを見る。</t>
        </is>
      </c>
    </row>
    <row r="16" ht="38" customHeight="1">
      <c r="A16" s="4" t="inlineStr">
        <is>
          <t>サポート期間</t>
        </is>
      </c>
      <c r="B16" s="4" t="inlineStr">
        <is>
          <t>OpenJDK 21は2023-09-19のLTS。RHEL 9のフルサポートは2027-05-31まで。</t>
        </is>
      </c>
      <c r="C16" s="4" t="inlineStr">
        <is>
          <t>配布物の期限はRed HatのOpenJDKライフサイクル。rpmの版を残す。</t>
        </is>
      </c>
    </row>
  </sheetData>
  <autoFilter ref="A3:C16"/>
  <mergeCells count="2">
    <mergeCell ref="A1:C1"/>
    <mergeCell ref="A2:C2"/>
  </mergeCells>
  <printOptions horizontalCentered="1"/>
  <pageMargins left="0.45" right="0.45" top="0.7" bottom="0.55" header="0.26" footer="0.26"/>
  <pageSetup orientation="landscape" paperSize="8" scale="70" fitToHeight="0" fitToWidth="1" horizontalDpi="300" verticalDpi="300"/>
  <headerFooter>
    <oddHeader>&amp;L&amp;"Meiryo UI"&amp;9親子JVMのプロセス・メモリ・vCPU&amp;C&amp;R&amp;"Meiryo UI"&amp;9確認日 2026-10-14</oddHeader>
    <oddFooter>&amp;L&amp;"Meiryo UI"&amp;8見本の数字は仮の値。実測は対象サーバで採取する。&amp;C&amp;"Meiryo UI"&amp;9JDKとRHEL&amp;R&amp;"Meiryo UI"&amp;9&amp;P /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5C5C5C"/>
    <outlinePr summaryBelow="1" summaryRight="1"/>
    <pageSetUpPr fitToPage="1"/>
  </sheetPr>
  <dimension ref="A1:C26"/>
  <sheetViews>
    <sheetView showGridLines="0" view="normal" zoomScale="100" workbookViewId="0">
      <pane ySplit="3" topLeftCell="A4" activePane="bottomLeft" state="frozen"/>
      <selection pane="bottomLeft" activeCell="A1" sqref="A1"/>
    </sheetView>
  </sheetViews>
  <sheetFormatPr baseColWidth="8" defaultColWidth="3" defaultRowHeight="18"/>
  <cols>
    <col width="24" customWidth="1" min="1" max="1"/>
    <col width="70" customWidth="1" min="2" max="2"/>
    <col width="48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</cols>
  <sheetData>
    <row r="1" ht="32" customHeight="1">
      <c r="A1" s="6" t="inlineStr">
        <is>
          <t>用語</t>
        </is>
      </c>
      <c r="B1" s="6" t="n"/>
      <c r="C1" s="6" t="n"/>
    </row>
    <row r="2" ht="36" customHeight="1">
      <c r="A2" s="7" t="inlineStr">
        <is>
          <t>文書とExcelで使う言葉。正式な名前と、教室のたとえを並べてある。</t>
        </is>
      </c>
      <c r="B2" s="7" t="n"/>
      <c r="C2" s="7" t="n"/>
    </row>
    <row r="3" ht="54" customHeight="1">
      <c r="A3" s="3" t="inlineStr">
        <is>
          <t>用語</t>
        </is>
      </c>
      <c r="B3" s="3" t="inlineStr">
        <is>
          <t>意味</t>
        </is>
      </c>
      <c r="C3" s="3" t="inlineStr">
        <is>
          <t>たとえ</t>
        </is>
      </c>
    </row>
    <row r="4" ht="22" customHeight="1">
      <c r="A4" s="4" t="inlineStr">
        <is>
          <t>vCPU</t>
        </is>
      </c>
      <c r="B4" s="4" t="inlineStr">
        <is>
          <t>ゲストから見えるCPU。</t>
        </is>
      </c>
      <c r="C4" s="4" t="inlineStr">
        <is>
          <t>机。</t>
        </is>
      </c>
    </row>
    <row r="5" ht="22" customHeight="1">
      <c r="A5" s="5" t="inlineStr">
        <is>
          <t>CFS</t>
        </is>
      </c>
      <c r="B5" s="5" t="inlineStr">
        <is>
          <t>LinuxがスレッドへvCPUの時間を配るスケジューラ。</t>
        </is>
      </c>
      <c r="C5" s="5" t="inlineStr">
        <is>
          <t>席を順番に使わせる係。</t>
        </is>
      </c>
    </row>
    <row r="6" ht="22" customHeight="1">
      <c r="A6" s="4" t="inlineStr">
        <is>
          <t>%steal</t>
        </is>
      </c>
      <c r="B6" s="4" t="inlineStr">
        <is>
          <t>vCPUがゲストに渡っていなかった時間の割合。</t>
        </is>
      </c>
      <c r="C6" s="4" t="inlineStr">
        <is>
          <t>管理人に机を返していた時間。</t>
        </is>
      </c>
    </row>
    <row r="7" ht="22" customHeight="1">
      <c r="A7" s="5" t="inlineStr">
        <is>
          <t>ヒープ</t>
        </is>
      </c>
      <c r="B7" s="5" t="inlineStr">
        <is>
          <t>Javaオブジェクトを置く領域。プロセスごとに独立。</t>
        </is>
      </c>
      <c r="C7" s="5" t="inlineStr">
        <is>
          <t>作業員の引き出し。</t>
        </is>
      </c>
    </row>
    <row r="8" ht="22" customHeight="1">
      <c r="A8" s="4" t="inlineStr">
        <is>
          <t>メタスペース</t>
        </is>
      </c>
      <c r="B8" s="4" t="inlineStr">
        <is>
          <t>クラス定義を置く、ヒープの外。</t>
        </is>
      </c>
      <c r="C8" s="4" t="inlineStr">
        <is>
          <t>引き出しの外の、道具の目録。</t>
        </is>
      </c>
    </row>
    <row r="9" ht="22" customHeight="1">
      <c r="A9" s="5" t="inlineStr">
        <is>
          <t>G1</t>
        </is>
      </c>
      <c r="B9" s="5" t="inlineStr">
        <is>
          <t>OpenJDK 21の既定GC。</t>
        </is>
      </c>
      <c r="C9" s="5" t="inlineStr">
        <is>
          <t>引き出しの中を片付ける係。</t>
        </is>
      </c>
    </row>
    <row r="10" ht="22" customHeight="1">
      <c r="A10" s="4" t="inlineStr">
        <is>
          <t>Young GC</t>
        </is>
      </c>
      <c r="B10" s="4" t="inlineStr">
        <is>
          <t>若いオブジェクトの回収。短い停止がある。</t>
        </is>
      </c>
      <c r="C10" s="4" t="inlineStr">
        <is>
          <t>新しいゴミだけの片付け。</t>
        </is>
      </c>
    </row>
    <row r="11" ht="22" customHeight="1">
      <c r="A11" s="5" t="inlineStr">
        <is>
          <t>Full GC</t>
        </is>
      </c>
      <c r="B11" s="5" t="inlineStr">
        <is>
          <t>ヒープ全体に近い停止回収。</t>
        </is>
      </c>
      <c r="C11" s="5" t="inlineStr">
        <is>
          <t>引き出し全体の大片付け。</t>
        </is>
      </c>
    </row>
    <row r="12" ht="38" customHeight="1">
      <c r="A12" s="4" t="inlineStr">
        <is>
          <t>RSS</t>
        </is>
      </c>
      <c r="B12" s="4" t="inlineStr">
        <is>
          <t>実メモリに載っているマップ。共有分も全量。</t>
        </is>
      </c>
      <c r="C12" s="4" t="inlineStr">
        <is>
          <t>その人の机の上に見えている量。教科書も全冊に数える。</t>
        </is>
      </c>
    </row>
    <row r="13" ht="22" customHeight="1">
      <c r="A13" s="5" t="inlineStr">
        <is>
          <t>PSS</t>
        </is>
      </c>
      <c r="B13" s="5" t="inlineStr">
        <is>
          <t>共有分を人数で割った居住量。</t>
        </is>
      </c>
      <c r="C13" s="5" t="inlineStr">
        <is>
          <t>教科書を人数で割ったあとの量。</t>
        </is>
      </c>
    </row>
    <row r="14" ht="22" customHeight="1">
      <c r="A14" s="4" t="inlineStr">
        <is>
          <t>VSZ</t>
        </is>
      </c>
      <c r="B14" s="4" t="inlineStr">
        <is>
          <t>予約した住所の広さ。</t>
        </is>
      </c>
      <c r="C14" s="4" t="inlineStr">
        <is>
          <t>使ってよい棚の番号の範囲。</t>
        </is>
      </c>
    </row>
    <row r="15" ht="22" customHeight="1">
      <c r="A15" s="5" t="inlineStr">
        <is>
          <t>ページキャッシュ</t>
        </is>
      </c>
      <c r="B15" s="5" t="inlineStr">
        <is>
          <t>ファイルを速く読み直すためのメモリ。回収できる。</t>
        </is>
      </c>
      <c r="C15" s="5" t="inlineStr">
        <is>
          <t>開いた教科書を置く台。</t>
        </is>
      </c>
    </row>
    <row r="16" ht="22" customHeight="1">
      <c r="A16" s="4" t="inlineStr">
        <is>
          <t>MemAvailable</t>
        </is>
      </c>
      <c r="B16" s="4" t="inlineStr">
        <is>
          <t>スワップせずに新しいアプリを始められる見込み。</t>
        </is>
      </c>
      <c r="C16" s="4" t="inlineStr">
        <is>
          <t>ロッカーの実用的な余り。</t>
        </is>
      </c>
    </row>
    <row r="17" ht="22" customHeight="1">
      <c r="A17" s="5" t="inlineStr">
        <is>
          <t>コミット</t>
        </is>
      </c>
      <c r="B17" s="5" t="inlineStr">
        <is>
          <t>カーネルが使うと約束したメモリ。</t>
        </is>
      </c>
      <c r="C17" s="5" t="inlineStr">
        <is>
          <t>取り置きの伝票。</t>
        </is>
      </c>
    </row>
    <row r="18" ht="22" customHeight="1">
      <c r="A18" s="4" t="inlineStr">
        <is>
          <t>overcommit</t>
        </is>
      </c>
      <c r="B18" s="4" t="inlineStr">
        <is>
          <t>伝票の合計がロッカーを超えても予約を許す動作。</t>
        </is>
      </c>
      <c r="C18" s="4" t="inlineStr">
        <is>
          <t>在庫以上の予約を受ける窓口。</t>
        </is>
      </c>
    </row>
    <row r="19" ht="38" customHeight="1">
      <c r="A19" s="5" t="inlineStr">
        <is>
          <t>CDS</t>
        </is>
      </c>
      <c r="B19" s="5" t="inlineStr">
        <is>
          <t>クラス情報のアーカイブを複数JVMで読み取り共有する仕組み。</t>
        </is>
      </c>
      <c r="C19" s="5" t="inlineStr">
        <is>
          <t>同じ教科書を一緒に見る仕組み。</t>
        </is>
      </c>
    </row>
    <row r="20" ht="22" customHeight="1">
      <c r="A20" s="4" t="inlineStr">
        <is>
          <t>NMT</t>
        </is>
      </c>
      <c r="B20" s="4" t="inlineStr">
        <is>
          <t>JVMが自分のネイティブメモリを分類して見せる機能。</t>
        </is>
      </c>
      <c r="C20" s="4" t="inlineStr">
        <is>
          <t>引き出しの外の棚卸し。</t>
        </is>
      </c>
    </row>
    <row r="21" ht="38" customHeight="1">
      <c r="A21" s="5" t="inlineStr">
        <is>
          <t>cgroup v2</t>
        </is>
      </c>
      <c r="B21" s="5" t="inlineStr">
        <is>
          <t>CPU、メモリ、プロセス数に上限を付けられる仕組み。</t>
        </is>
      </c>
      <c r="C21" s="5" t="inlineStr">
        <is>
          <t>この班が使ってよい机とロッカーの上限。</t>
        </is>
      </c>
    </row>
    <row r="22" ht="38" customHeight="1">
      <c r="A22" s="4" t="inlineStr">
        <is>
          <t>PSI</t>
        </is>
      </c>
      <c r="B22" s="4" t="inlineStr">
        <is>
          <t>CPU、メモリ、I/Oのどれでタスクが止まったかの割合。</t>
        </is>
      </c>
      <c r="C22" s="4" t="inlineStr">
        <is>
          <t>だれが、どの理由で手を止めたかの割合。</t>
        </is>
      </c>
    </row>
    <row r="23" ht="38" customHeight="1">
      <c r="A23" s="5" t="inlineStr">
        <is>
          <t>OOM Killer</t>
        </is>
      </c>
      <c r="B23" s="5" t="inlineStr">
        <is>
          <t>物理メモリが尽きたとき、カーネルがプロセスを終了させる仕組み。</t>
        </is>
      </c>
      <c r="C23" s="5" t="inlineStr">
        <is>
          <t>一番大きい荷物の人を外に出す判断。</t>
        </is>
      </c>
    </row>
    <row r="24" ht="22" customHeight="1">
      <c r="A24" s="4" t="inlineStr">
        <is>
          <t>jspawnhelper</t>
        </is>
      </c>
      <c r="B24" s="4" t="inlineStr">
        <is>
          <t>posix_spawnで子を起動する短い補助プロセス。</t>
        </is>
      </c>
      <c r="C24" s="4" t="inlineStr">
        <is>
          <t>新しい作業員を入室させる案内役。</t>
        </is>
      </c>
    </row>
    <row r="25" ht="22" customHeight="1">
      <c r="A25" s="5" t="inlineStr">
        <is>
          <t>NPTL</t>
        </is>
      </c>
      <c r="B25" s="5" t="inlineStr">
        <is>
          <t>Linuxの現行POSIXスレッド実装。</t>
        </is>
      </c>
      <c r="C25" s="5" t="inlineStr">
        <is>
          <t>1人の中のたくさんの手の土台。</t>
        </is>
      </c>
    </row>
    <row r="26" ht="38" customHeight="1">
      <c r="A26" s="4" t="inlineStr">
        <is>
          <t>ロードアベレージ</t>
        </is>
      </c>
      <c r="B26" s="4" t="inlineStr">
        <is>
          <t>実行したいタスクと割り込み不能タスクの指数平均。</t>
        </is>
      </c>
      <c r="C26" s="4" t="inlineStr">
        <is>
          <t>席を待っている人と、倉庫の前で止まっている人の平均。</t>
        </is>
      </c>
    </row>
  </sheetData>
  <autoFilter ref="A3:C26"/>
  <mergeCells count="2">
    <mergeCell ref="A1:C1"/>
    <mergeCell ref="A2:C2"/>
  </mergeCells>
  <printOptions horizontalCentered="1"/>
  <pageMargins left="0.45" right="0.45" top="0.7" bottom="0.55" header="0.26" footer="0.26"/>
  <pageSetup orientation="landscape" paperSize="8" scale="70" fitToHeight="0" fitToWidth="1" horizontalDpi="300" verticalDpi="300"/>
  <headerFooter>
    <oddHeader>&amp;L&amp;"Meiryo UI"&amp;9親子JVMのプロセス・メモリ・vCPU&amp;C&amp;R&amp;"Meiryo UI"&amp;9確認日 2026-10-14</oddHeader>
    <oddFooter>&amp;L&amp;"Meiryo UI"&amp;8見本の数字は仮の値。実測は対象サーバで採取する。&amp;C&amp;"Meiryo UI"&amp;9用語&amp;R&amp;"Meiryo UI"&amp;9&amp;P /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005C5C5C"/>
    <outlinePr summaryBelow="1" summaryRight="1"/>
    <pageSetUpPr fitToPage="1"/>
  </sheetPr>
  <dimension ref="A1:C15"/>
  <sheetViews>
    <sheetView showGridLines="0" view="normal" zoomScale="100" workbookViewId="0">
      <pane ySplit="3" topLeftCell="A4" activePane="bottomLeft" state="frozen"/>
      <selection pane="bottomLeft" activeCell="A1" sqref="A1"/>
    </sheetView>
  </sheetViews>
  <sheetFormatPr baseColWidth="8" defaultColWidth="3" defaultRowHeight="18"/>
  <cols>
    <col width="24" customWidth="1" min="1" max="1"/>
    <col width="78" customWidth="1" min="2" max="2"/>
    <col width="55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</cols>
  <sheetData>
    <row r="1" ht="32" customHeight="1">
      <c r="A1" s="6" t="inlineStr">
        <is>
          <t>出典</t>
        </is>
      </c>
      <c r="B1" s="6" t="n"/>
      <c r="C1" s="6" t="n"/>
    </row>
    <row r="2" ht="36" customHeight="1">
      <c r="A2" s="7" t="inlineStr">
        <is>
          <t>確認日 2026-10-14。対象サーバの実測は含まない。見本の16GiBと8 vCPUは式を見せる入力。</t>
        </is>
      </c>
      <c r="B2" s="7" t="n"/>
      <c r="C2" s="7" t="n"/>
    </row>
    <row r="3" ht="54" customHeight="1">
      <c r="A3" s="3" t="inlineStr">
        <is>
          <t>種類</t>
        </is>
      </c>
      <c r="B3" s="3" t="inlineStr">
        <is>
          <t>内容</t>
        </is>
      </c>
      <c r="C3" s="3" t="inlineStr">
        <is>
          <t>この文書での使い方</t>
        </is>
      </c>
    </row>
    <row r="4" ht="38" customHeight="1">
      <c r="A4" s="4" t="inlineStr">
        <is>
          <t>RHEL 9.8</t>
        </is>
      </c>
      <c r="B4" s="4" t="inlineStr">
        <is>
          <t>一般提供は2026-05-19。GA時点のカーネルは5.14.0-687.5.1.el9_8。リリースノートとRed Hatのリリース日一覧。</t>
        </is>
      </c>
      <c r="C4" s="4" t="inlineStr">
        <is>
          <t>版の起点。試験票はuname -rを貼る。</t>
        </is>
      </c>
    </row>
    <row r="5" ht="22" customHeight="1">
      <c r="A5" s="5" t="inlineStr">
        <is>
          <t>RHEL 9.0</t>
        </is>
      </c>
      <c r="B5" s="5" t="inlineStr">
        <is>
          <t>2022-05-17。カーネル5.14系。フルサポートは2027-05-31まで。</t>
        </is>
      </c>
      <c r="C5" s="5" t="inlineStr">
        <is>
          <t>cgroup v2と5.14の土台。</t>
        </is>
      </c>
    </row>
    <row r="6" ht="38" customHeight="1">
      <c r="A6" s="4" t="inlineStr">
        <is>
          <t>sarのkbmemused</t>
        </is>
      </c>
      <c r="B6" s="4" t="inlineStr">
        <is>
          <t>Red Hatの説明。RHEL 9はMemTotal−(MemFree+Buffers+Cached+Slab)。sysstat 11.7.4で計算が変わった。</t>
        </is>
      </c>
      <c r="C6" s="4" t="inlineStr">
        <is>
          <t>古い手順書との差。</t>
        </is>
      </c>
    </row>
    <row r="7" ht="38" customHeight="1">
      <c r="A7" s="5" t="inlineStr">
        <is>
          <t>free</t>
        </is>
      </c>
      <c r="B7" s="5" t="inlineStr">
        <is>
          <t>Red Hatの説明。RHEL 9.1以降のusedはMemTotal−MemAvailable。buff/cacheはBuffers+Cached+SReclaimable。</t>
        </is>
      </c>
      <c r="C7" s="5" t="inlineStr">
        <is>
          <t>sarとfreeを同じ「使用中」と呼ばない。</t>
        </is>
      </c>
    </row>
    <row r="8" ht="38" customHeight="1">
      <c r="A8" s="4" t="inlineStr">
        <is>
          <t>マニュアル</t>
        </is>
      </c>
      <c r="B8" s="4" t="inlineStr">
        <is>
          <t>sar(1)、vmstat(8)、iostat(1)、sadf(1)。vmstatとiostatの最初の1行は起動後平均。sarは間隔0で起動後平均。</t>
        </is>
      </c>
      <c r="C8" s="4" t="inlineStr">
        <is>
          <t>最初の1行の採用ルール。</t>
        </is>
      </c>
    </row>
    <row r="9" ht="38" customHeight="1">
      <c r="A9" s="5" t="inlineStr">
        <is>
          <t>OpenJDKの起動</t>
        </is>
      </c>
      <c r="B9" s="5" t="inlineStr">
        <is>
          <t>ProcessImpl。Linuxの既定はPOSIX_SPAWN。JDK 13の系統で既定になり、21も受け継ぐ。</t>
        </is>
      </c>
      <c r="C9" s="5" t="inlineStr">
        <is>
          <t>親が子を起動するときのメモリ複製の有無。</t>
        </is>
      </c>
    </row>
    <row r="10" ht="38" customHeight="1">
      <c r="A10" s="4" t="inlineStr">
        <is>
          <t>G1の人数</t>
        </is>
      </c>
      <c r="B10" s="4" t="inlineStr">
        <is>
          <t>ParallelGCThreadsは、見えるCPUが8以下ならその数、それ以外は8+(N-8)×5/8。ConcGCThreadsは(Parallel+2)/4を下回らない。</t>
        </is>
      </c>
      <c r="C10" s="4" t="inlineStr">
        <is>
          <t>シート「計算」の式。</t>
        </is>
      </c>
    </row>
    <row r="11" ht="38" customHeight="1">
      <c r="A11" s="5" t="inlineStr">
        <is>
          <t>OpenJDK 21</t>
        </is>
      </c>
      <c r="B11" s="5" t="inlineStr">
        <is>
          <t>既定GCはG1。JEP 439が世代別ZGC。JEP 444が仮想スレッド。CDSの既定は-Xshare:auto。2023-09-19のLTS。</t>
        </is>
      </c>
      <c r="C11" s="5" t="inlineStr">
        <is>
          <t>フラグが無いときの説明の前提。</t>
        </is>
      </c>
    </row>
    <row r="12" ht="38" customHeight="1">
      <c r="A12" s="4" t="inlineStr">
        <is>
          <t>vCPU</t>
        </is>
      </c>
      <c r="B12" s="4" t="inlineStr">
        <is>
          <t>AWSの定義。1 vCPUがハードウェアスレッドの場合と、コアそのものの場合がある。</t>
        </is>
      </c>
      <c r="C12" s="4" t="inlineStr">
        <is>
          <t>判定はゲストのlscpu。</t>
        </is>
      </c>
    </row>
    <row r="13" ht="38" customHeight="1">
      <c r="A13" s="5" t="inlineStr">
        <is>
          <t>PSI</t>
        </is>
      </c>
      <c r="B13" s="5" t="inlineStr">
        <is>
          <t>LinuxカーネルのPressure Stall Information。/proc/pressureのsomeとfull。</t>
        </is>
      </c>
      <c r="C13" s="5" t="inlineStr">
        <is>
          <t>ロードアベレージと並べる資源ごとの止まり。</t>
        </is>
      </c>
    </row>
    <row r="14" ht="38" customHeight="1">
      <c r="A14" s="4" t="inlineStr">
        <is>
          <t>測っていないもの</t>
        </is>
      </c>
      <c r="B14" s="4" t="inlineStr">
        <is>
          <t>インスタンスタイプ、実フラグ、実sar、GCログ、DB接続、CloudWatchエージェントのメモリ式。</t>
        </is>
      </c>
      <c r="C14" s="4" t="inlineStr">
        <is>
          <t>見本の数字を測定値として使わない。</t>
        </is>
      </c>
    </row>
    <row r="15" ht="22" customHeight="1">
      <c r="A15" s="5" t="inlineStr">
        <is>
          <t>対になる文書</t>
        </is>
      </c>
      <c r="B15" s="5" t="inlineStr">
        <is>
          <t>親子JVMのメモリとCPUとsar.md</t>
        </is>
      </c>
      <c r="C15" s="5" t="inlineStr">
        <is>
          <t>物語と経緯の全文。このブックは表と計算。</t>
        </is>
      </c>
    </row>
  </sheetData>
  <autoFilter ref="A3:C15"/>
  <mergeCells count="2">
    <mergeCell ref="A1:C1"/>
    <mergeCell ref="A2:C2"/>
  </mergeCells>
  <printOptions horizontalCentered="1"/>
  <pageMargins left="0.45" right="0.45" top="0.7" bottom="0.55" header="0.26" footer="0.26"/>
  <pageSetup orientation="landscape" paperSize="8" scale="70" fitToHeight="0" fitToWidth="1" horizontalDpi="300" verticalDpi="300"/>
  <headerFooter>
    <oddHeader>&amp;L&amp;"Meiryo UI"&amp;9親子JVMのプロセス・メモリ・vCPU&amp;C&amp;R&amp;"Meiryo UI"&amp;9確認日 2026-10-14</oddHeader>
    <oddFooter>&amp;L&amp;"Meiryo UI"&amp;8見本の数字は仮の値。実測は対象サーバで採取する。&amp;C&amp;"Meiryo UI"&amp;9出典&amp;R&amp;"Meiryo UI"&amp;9&amp;P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Grok</dc:creator>
  <dc:title xmlns:dc="http://purl.org/dc/elements/1.1/">親子JVMのプロセス、メモリ、vCPU</dc:title>
  <dc:description xmlns:dc="http://purl.org/dc/elements/1.1/">確認日 2026-10-14。Meiryo UI。モノトーン。見本の数字は仮の値。</dc:description>
  <dc:subject xmlns:dc="http://purl.org/dc/elements/1.1/">EC2 RHEL 9.8 OpenJDK 21 親JVMと子JVM10本の性能試験</dc:subject>
  <dcterms:created xmlns:dcterms="http://purl.org/dc/terms/" xmlns:xsi="http://www.w3.org/2001/XMLSchema-instance" xsi:type="dcterms:W3CDTF">2026-10-13T20:20:25Z</dcterms:created>
  <dcterms:modified xmlns:dcterms="http://purl.org/dc/terms/" xmlns:xsi="http://www.w3.org/2001/XMLSchema-instance" xsi:type="dcterms:W3CDTF">2026-10-13T20:20:25Z</dcterms:modified>
  <cp:category>性能試験</cp:category>
  <cp:keywords>JVM,sar,vCPU,OpenJDK21,RHEL9.8,EC2</cp:keywords>
</cp:coreProperties>
</file>